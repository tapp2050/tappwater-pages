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lan" sheetId="1" state="visible" r:id="rId1"/>
    <sheet name="Keyword Database" sheetId="2" state="visible" r:id="rId2"/>
    <sheet name="Competitor Landscape" sheetId="3" state="visible" r:id="rId3"/>
    <sheet name="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DCEEFB"/>
      </patternFill>
    </fill>
    <fill>
      <patternFill patternType="solid">
        <fgColor rgb="00E8F0FE"/>
      </patternFill>
    </fill>
    <fill>
      <patternFill patternType="solid">
        <fgColor rgb="00D6E4F0"/>
      </patternFill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3" fontId="2" fillId="9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2" fillId="10" borderId="0" pivotButton="0" quotePrefix="0" xfId="0"/>
    <xf numFmtId="0" fontId="0" fillId="10" borderId="0" pivotButton="0" quotePrefix="0" xfId="0"/>
    <xf numFmtId="3" fontId="2" fillId="10" borderId="0" pivotButton="0" quotePrefix="0" xfId="0"/>
    <xf numFmtId="165" fontId="2" fillId="10" borderId="0" pivotButton="0" quotePrefix="0" xfId="0"/>
    <xf numFmtId="3" fontId="0" fillId="10" borderId="0" pivotButton="0" quotePrefix="0" xfId="0"/>
    <xf numFmtId="165" fontId="0" fillId="10" borderId="0" pivotButton="0" quotePrefix="0" xfId="0"/>
    <xf numFmtId="0" fontId="3" fillId="11" borderId="0" pivotButton="0" quotePrefix="0" xfId="0"/>
    <xf numFmtId="0" fontId="0" fillId="11" borderId="0" pivotButton="0" quotePrefix="0" xfId="0"/>
    <xf numFmtId="3" fontId="3" fillId="11" borderId="0" pivotButton="0" quotePrefix="0" xfId="0"/>
    <xf numFmtId="165" fontId="3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55" customWidth="1" min="4" max="4"/>
    <col width="45" customWidth="1" min="5" max="5"/>
    <col width="35" customWidth="1" min="6" max="6"/>
    <col width="12" customWidth="1" min="7" max="7"/>
    <col width="60" customWidth="1" min="8" max="8"/>
    <col width="15" customWidth="1" min="9" max="9"/>
    <col width="60" customWidth="1" min="10" max="10"/>
    <col width="15" customWidth="1" min="11" max="11"/>
    <col width="15" customWidth="1" min="12" max="12"/>
    <col width="12" customWidth="1" min="13" max="13"/>
  </cols>
  <sheetData>
    <row r="1">
      <c r="A1" s="1" t="inlineStr">
        <is>
          <t>Phase</t>
        </is>
      </c>
      <c r="B1" s="1" t="inlineStr">
        <is>
          <t>Priority</t>
        </is>
      </c>
      <c r="C1" s="1" t="inlineStr">
        <is>
          <t>Page Type</t>
        </is>
      </c>
      <c r="D1" s="1" t="inlineStr">
        <is>
          <t>Page Title</t>
        </is>
      </c>
      <c r="E1" s="1" t="inlineStr">
        <is>
          <t>URL Slug</t>
        </is>
      </c>
      <c r="F1" s="1" t="inlineStr">
        <is>
          <t>Primary Keyword</t>
        </is>
      </c>
      <c r="G1" s="1" t="inlineStr">
        <is>
          <t>Primary KW Vol</t>
        </is>
      </c>
      <c r="H1" s="1" t="inlineStr">
        <is>
          <t>Secondary Keywords</t>
        </is>
      </c>
      <c r="I1" s="1" t="inlineStr">
        <is>
          <t>Combined Cluster Vol</t>
        </is>
      </c>
      <c r="J1" s="1" t="inlineStr">
        <is>
          <t>Content Angle</t>
        </is>
      </c>
      <c r="K1" s="1" t="inlineStr">
        <is>
          <t>Product Tie-in</t>
        </is>
      </c>
      <c r="L1" s="1" t="inlineStr">
        <is>
          <t>Est. Clicks/mo (Top 3)</t>
        </is>
      </c>
      <c r="M1" s="1" t="inlineStr">
        <is>
          <t>Status</t>
        </is>
      </c>
    </row>
    <row r="2">
      <c r="A2" s="2" t="inlineStr">
        <is>
          <t>1</t>
        </is>
      </c>
      <c r="B2" s="2" t="inlineStr">
        <is>
          <t>P1</t>
        </is>
      </c>
      <c r="C2" s="2" t="inlineStr">
        <is>
          <t>Collection</t>
        </is>
      </c>
      <c r="D2" s="2" t="inlineStr">
        <is>
          <t>Shower Filters Australia — Filtered Shower Heads for Hair &amp; Skin</t>
        </is>
      </c>
      <c r="E2" s="2" t="inlineStr">
        <is>
          <t>/collections/shower-filter</t>
        </is>
      </c>
      <c r="F2" s="2" t="inlineStr">
        <is>
          <t>shower filter</t>
        </is>
      </c>
      <c r="G2" s="3" t="n">
        <v>12100</v>
      </c>
      <c r="H2" s="2" t="inlineStr">
        <is>
          <t>shower filter australia, shower water filter, filtered shower head, shower head filter, shower head water filter, shower water filter australia</t>
        </is>
      </c>
      <c r="I2" s="3" t="n">
        <v>44000</v>
      </c>
      <c r="J2" s="2" t="inlineStr">
        <is>
          <t>Main shower filter collection page. Position around hair + skin benefits. Target all head terms in this wide-open category.</t>
        </is>
      </c>
      <c r="K2" s="2" t="inlineStr">
        <is>
          <t>ShowerPro</t>
        </is>
      </c>
      <c r="L2" s="3" t="n">
        <v>2500</v>
      </c>
      <c r="M2" s="2" t="inlineStr">
        <is>
          <t>Not Started</t>
        </is>
      </c>
    </row>
    <row r="3">
      <c r="A3" s="4" t="inlineStr">
        <is>
          <t>1</t>
        </is>
      </c>
      <c r="B3" s="4" t="inlineStr">
        <is>
          <t>P1</t>
        </is>
      </c>
      <c r="C3" s="4" t="inlineStr">
        <is>
          <t>Collection</t>
        </is>
      </c>
      <c r="D3" s="4" t="inlineStr">
        <is>
          <t>Countertop Reverse Osmosis Water Filter — No Installation Required</t>
        </is>
      </c>
      <c r="E3" s="4" t="inlineStr">
        <is>
          <t>/collections/countertop-reverse-osmosis</t>
        </is>
      </c>
      <c r="F3" s="4" t="inlineStr">
        <is>
          <t>countertop reverse osmosis water filter</t>
        </is>
      </c>
      <c r="G3" s="5" t="n">
        <v>210</v>
      </c>
      <c r="H3" s="4" t="inlineStr">
        <is>
          <t>benchtop reverse osmosis water filter, benchtop reverse osmosis water filter australia, countertop water purifier, portable reverse osmosis, countertop ro system</t>
        </is>
      </c>
      <c r="I3" s="5" t="n">
        <v>670</v>
      </c>
      <c r="J3" s="4" t="inlineStr">
        <is>
          <t>Launch page for new RO product. Lead with plug-and-play, no plumber needed. Also target broader RO cluster as the countertop alternative.</t>
        </is>
      </c>
      <c r="K3" s="4" t="inlineStr">
        <is>
          <t>Countertop RO</t>
        </is>
      </c>
      <c r="L3" s="5" t="n">
        <v>400</v>
      </c>
      <c r="M3" s="4" t="inlineStr">
        <is>
          <t>Not Started</t>
        </is>
      </c>
    </row>
    <row r="4">
      <c r="A4" s="6" t="inlineStr">
        <is>
          <t>1</t>
        </is>
      </c>
      <c r="B4" s="6" t="inlineStr">
        <is>
          <t>P1</t>
        </is>
      </c>
      <c r="C4" s="6" t="inlineStr">
        <is>
          <t>Product</t>
        </is>
      </c>
      <c r="D4" s="6" t="inlineStr">
        <is>
          <t>EcoPro — Best Tap Water Filter Australia</t>
        </is>
      </c>
      <c r="E4" s="6" t="inlineStr">
        <is>
          <t>/products/tap-water-filter</t>
        </is>
      </c>
      <c r="F4" s="6" t="inlineStr">
        <is>
          <t>tap water filter</t>
        </is>
      </c>
      <c r="G4" s="7" t="n">
        <v>12100</v>
      </c>
      <c r="H4" s="6" t="inlineStr">
        <is>
          <t>tap filter, water filter tap, faucet water filter, best tap filter, on tap water filter, screw on tap filter, water filter for tap australia</t>
        </is>
      </c>
      <c r="I4" s="7" t="n">
        <v>29180</v>
      </c>
      <c r="J4" s="6" t="inlineStr">
        <is>
          <t>Optimise existing product page. Strengthen 'best tap filter' #1 position, push 'tap water filter' from #9 to top 5.</t>
        </is>
      </c>
      <c r="K4" s="6" t="inlineStr">
        <is>
          <t>EcoPro</t>
        </is>
      </c>
      <c r="L4" s="7" t="n">
        <v>1500</v>
      </c>
      <c r="M4" s="6" t="inlineStr">
        <is>
          <t>Not Started</t>
        </is>
      </c>
    </row>
    <row r="5">
      <c r="A5" s="4" t="inlineStr">
        <is>
          <t>1</t>
        </is>
      </c>
      <c r="B5" s="4" t="inlineStr">
        <is>
          <t>P1</t>
        </is>
      </c>
      <c r="C5" s="4" t="inlineStr">
        <is>
          <t>Landing Page</t>
        </is>
      </c>
      <c r="D5" s="4" t="inlineStr">
        <is>
          <t>Best Water Filter Australia 2026</t>
        </is>
      </c>
      <c r="E5" s="4" t="inlineStr">
        <is>
          <t>/blogs/best-water-filter-australia</t>
        </is>
      </c>
      <c r="F5" s="4" t="inlineStr">
        <is>
          <t>best water filter australia</t>
        </is>
      </c>
      <c r="G5" s="5" t="n">
        <v>2400</v>
      </c>
      <c r="H5" s="4" t="inlineStr">
        <is>
          <t>water filter australia, best tap water filter australia</t>
        </is>
      </c>
      <c r="I5" s="5" t="n">
        <v>6210</v>
      </c>
      <c r="J5" s="4" t="inlineStr">
        <is>
          <t>Comparison/roundup page featuring all Tapp products plus competitors for credibility. SEO listicle format.</t>
        </is>
      </c>
      <c r="K5" s="4" t="inlineStr">
        <is>
          <t>All</t>
        </is>
      </c>
      <c r="L5" s="5" t="n">
        <v>600</v>
      </c>
      <c r="M5" s="4" t="inlineStr">
        <is>
          <t>Not Started</t>
        </is>
      </c>
    </row>
    <row r="6">
      <c r="A6" s="6" t="inlineStr">
        <is>
          <t>1</t>
        </is>
      </c>
      <c r="B6" s="6" t="inlineStr">
        <is>
          <t>P1</t>
        </is>
      </c>
      <c r="C6" s="6" t="inlineStr">
        <is>
          <t>Landing Page</t>
        </is>
      </c>
      <c r="D6" s="6" t="inlineStr">
        <is>
          <t>Best Shower Filter Australia 2026</t>
        </is>
      </c>
      <c r="E6" s="6" t="inlineStr">
        <is>
          <t>/blogs/best-shower-filter-australia</t>
        </is>
      </c>
      <c r="F6" s="6" t="inlineStr">
        <is>
          <t>best shower filter australia</t>
        </is>
      </c>
      <c r="G6" s="7" t="n">
        <v>480</v>
      </c>
      <c r="H6" s="6" t="inlineStr">
        <is>
          <t>best shower filter, shower filter australia</t>
        </is>
      </c>
      <c r="I6" s="7" t="n">
        <v>2170</v>
      </c>
      <c r="J6" s="6" t="inlineStr">
        <is>
          <t>Comparison page for shower filters. Include ShowerPro, Well Verti, Filtered Beauty, Fettle Effect. Honest reviews.</t>
        </is>
      </c>
      <c r="K6" s="6" t="inlineStr">
        <is>
          <t>ShowerPro</t>
        </is>
      </c>
      <c r="L6" s="7" t="n">
        <v>300</v>
      </c>
      <c r="M6" s="6" t="inlineStr">
        <is>
          <t>Not Started</t>
        </is>
      </c>
    </row>
    <row r="7">
      <c r="A7" s="4" t="inlineStr">
        <is>
          <t>1</t>
        </is>
      </c>
      <c r="B7" s="4" t="inlineStr">
        <is>
          <t>P1</t>
        </is>
      </c>
      <c r="C7" s="4" t="inlineStr">
        <is>
          <t>Landing Page</t>
        </is>
      </c>
      <c r="D7" s="4" t="inlineStr">
        <is>
          <t>Best Reverse Osmosis Water Filter Australia 2026</t>
        </is>
      </c>
      <c r="E7" s="4" t="inlineStr">
        <is>
          <t>/blogs/best-reverse-osmosis-water-filter-australia</t>
        </is>
      </c>
      <c r="F7" s="4" t="inlineStr">
        <is>
          <t>best reverse osmosis water filter australia</t>
        </is>
      </c>
      <c r="G7" s="5" t="n">
        <v>320</v>
      </c>
      <c r="H7" s="4" t="inlineStr">
        <is>
          <t>reverse osmosis water filter australia, reverse osmosis water filter, reverse osmosis water filter system</t>
        </is>
      </c>
      <c r="I7" s="5" t="n">
        <v>9720</v>
      </c>
      <c r="J7" s="4" t="inlineStr">
        <is>
          <t>Comparison page. Position Tapp countertop RO as the no-plumber option. Compare to Waterdrop, under-sink systems.</t>
        </is>
      </c>
      <c r="K7" s="4" t="inlineStr">
        <is>
          <t>Countertop RO</t>
        </is>
      </c>
      <c r="L7" s="5" t="n">
        <v>800</v>
      </c>
      <c r="M7" s="4" t="inlineStr">
        <is>
          <t>Not Started</t>
        </is>
      </c>
    </row>
    <row r="8">
      <c r="A8" s="2" t="inlineStr">
        <is>
          <t>2</t>
        </is>
      </c>
      <c r="B8" s="2" t="inlineStr">
        <is>
          <t>P1</t>
        </is>
      </c>
      <c r="C8" s="2" t="inlineStr">
        <is>
          <t>Guide</t>
        </is>
      </c>
      <c r="D8" s="2" t="inlineStr">
        <is>
          <t>Tap Water in Sydney: What's In It &amp; Should You Filter It?</t>
        </is>
      </c>
      <c r="E8" s="2" t="inlineStr">
        <is>
          <t>/blogs/tap-water-sydney</t>
        </is>
      </c>
      <c r="F8" s="2" t="inlineStr">
        <is>
          <t>tap water sydney</t>
        </is>
      </c>
      <c r="G8" s="3" t="n">
        <v>390</v>
      </c>
      <c r="H8" s="2" t="inlineStr">
        <is>
          <t>sydney water quality, can you drink tap water in sydney, is sydney water safe to drink, hard water sydney</t>
        </is>
      </c>
      <c r="I8" s="3" t="n">
        <v>1660</v>
      </c>
      <c r="J8" s="2" t="inlineStr">
        <is>
          <t>Comprehensive guide to Sydney water. Cover source, treatment, contaminants, hardness. Link to all products. Spike-ready for water incidents.</t>
        </is>
      </c>
      <c r="K8" s="2" t="inlineStr">
        <is>
          <t>All</t>
        </is>
      </c>
      <c r="L8" s="3" t="n">
        <v>200</v>
      </c>
      <c r="M8" s="2" t="inlineStr">
        <is>
          <t>Not Started</t>
        </is>
      </c>
    </row>
    <row r="9">
      <c r="A9" s="4" t="inlineStr">
        <is>
          <t>2</t>
        </is>
      </c>
      <c r="B9" s="4" t="inlineStr">
        <is>
          <t>P1</t>
        </is>
      </c>
      <c r="C9" s="4" t="inlineStr">
        <is>
          <t>Guide</t>
        </is>
      </c>
      <c r="D9" s="4" t="inlineStr">
        <is>
          <t>Tap Water in Melbourne: What's In It &amp; Should You Filter It?</t>
        </is>
      </c>
      <c r="E9" s="4" t="inlineStr">
        <is>
          <t>/blogs/tap-water-melbourne</t>
        </is>
      </c>
      <c r="F9" s="4" t="inlineStr">
        <is>
          <t>tap water melbourne</t>
        </is>
      </c>
      <c r="G9" s="5" t="n">
        <v>590</v>
      </c>
      <c r="H9" s="4" t="inlineStr">
        <is>
          <t>melbourne water quality, can you drink tap water in melbourne, is melbourne water safe to drink, hard water melbourne</t>
        </is>
      </c>
      <c r="I9" s="5" t="n">
        <v>1740</v>
      </c>
      <c r="J9" s="4" t="inlineStr">
        <is>
          <t>Melbourne-specific water guide. Spiked to 1,900 during Nov '25 water incident. Same template as Sydney.</t>
        </is>
      </c>
      <c r="K9" s="4" t="inlineStr">
        <is>
          <t>All</t>
        </is>
      </c>
      <c r="L9" s="5" t="n">
        <v>220</v>
      </c>
      <c r="M9" s="4" t="inlineStr">
        <is>
          <t>Not Started</t>
        </is>
      </c>
    </row>
    <row r="10">
      <c r="A10" s="6" t="inlineStr">
        <is>
          <t>2</t>
        </is>
      </c>
      <c r="B10" s="6" t="inlineStr">
        <is>
          <t>P1</t>
        </is>
      </c>
      <c r="C10" s="6" t="inlineStr">
        <is>
          <t>Guide</t>
        </is>
      </c>
      <c r="D10" s="6" t="inlineStr">
        <is>
          <t>Tap Water in Brisbane: What's In It &amp; Should You Filter It?</t>
        </is>
      </c>
      <c r="E10" s="6" t="inlineStr">
        <is>
          <t>/blogs/tap-water-brisbane</t>
        </is>
      </c>
      <c r="F10" s="6" t="inlineStr">
        <is>
          <t>tap water brisbane</t>
        </is>
      </c>
      <c r="G10" s="7" t="n">
        <v>260</v>
      </c>
      <c r="H10" s="6" t="inlineStr">
        <is>
          <t>brisbane water quality, can you drink tap water in brisbane, is tap water safe to drink in brisbane, is brisbane water safe to drink</t>
        </is>
      </c>
      <c r="I10" s="7" t="n">
        <v>890</v>
      </c>
      <c r="J10" s="6" t="inlineStr">
        <is>
          <t>Brisbane-specific. Has spiked to 1,000+ during water quality incidents.</t>
        </is>
      </c>
      <c r="K10" s="6" t="inlineStr">
        <is>
          <t>All</t>
        </is>
      </c>
      <c r="L10" s="7" t="n">
        <v>120</v>
      </c>
      <c r="M10" s="6" t="inlineStr">
        <is>
          <t>Not Started</t>
        </is>
      </c>
    </row>
    <row r="11">
      <c r="A11" s="4" t="inlineStr">
        <is>
          <t>2</t>
        </is>
      </c>
      <c r="B11" s="4" t="inlineStr">
        <is>
          <t>P2</t>
        </is>
      </c>
      <c r="C11" s="4" t="inlineStr">
        <is>
          <t>Guide</t>
        </is>
      </c>
      <c r="D11" s="4" t="inlineStr">
        <is>
          <t>Tap Water in Perth: Hard Water Capital of Australia</t>
        </is>
      </c>
      <c r="E11" s="4" t="inlineStr">
        <is>
          <t>/blogs/tap-water-perth</t>
        </is>
      </c>
      <c r="F11" s="4" t="inlineStr">
        <is>
          <t>hard water perth</t>
        </is>
      </c>
      <c r="G11" s="5" t="n">
        <v>210</v>
      </c>
      <c r="H11" s="4" t="inlineStr">
        <is>
          <t>tap water perth, perth water quality, is perth water safe to drink, reverse osmosis water filter perth</t>
        </is>
      </c>
      <c r="I11" s="5" t="n">
        <v>720</v>
      </c>
      <c r="J11" s="4" t="inlineStr">
        <is>
          <t>Perth = hard water angle. Direct link to ShowerPro for shower hardness + RO for drinking water.</t>
        </is>
      </c>
      <c r="K11" s="4" t="inlineStr">
        <is>
          <t>ShowerPro + RO</t>
        </is>
      </c>
      <c r="L11" s="5" t="n">
        <v>90</v>
      </c>
      <c r="M11" s="4" t="inlineStr">
        <is>
          <t>Not Started</t>
        </is>
      </c>
    </row>
    <row r="12">
      <c r="A12" s="6" t="inlineStr">
        <is>
          <t>2</t>
        </is>
      </c>
      <c r="B12" s="6" t="inlineStr">
        <is>
          <t>P2</t>
        </is>
      </c>
      <c r="C12" s="6" t="inlineStr">
        <is>
          <t>Guide</t>
        </is>
      </c>
      <c r="D12" s="6" t="inlineStr">
        <is>
          <t>Can You Drink Tap Water in Australia?</t>
        </is>
      </c>
      <c r="E12" s="6" t="inlineStr">
        <is>
          <t>/blogs/can-you-drink-tap-water-in-australia</t>
        </is>
      </c>
      <c r="F12" s="6" t="inlineStr">
        <is>
          <t>can you drink tap water in australia</t>
        </is>
      </c>
      <c r="G12" s="7" t="n">
        <v>590</v>
      </c>
      <c r="H12" s="6" t="inlineStr">
        <is>
          <t>is tap water safe to drink, is tap water safe in australia, tap water contaminants</t>
        </is>
      </c>
      <c r="I12" s="7" t="n">
        <v>880</v>
      </c>
      <c r="J12" s="6" t="inlineStr">
        <is>
          <t>National overview / hub page linking to all city pages. Covers what AU water treatment does and doesn't remove.</t>
        </is>
      </c>
      <c r="K12" s="6" t="inlineStr">
        <is>
          <t>All</t>
        </is>
      </c>
      <c r="L12" s="7" t="n">
        <v>120</v>
      </c>
      <c r="M12" s="6" t="inlineStr">
        <is>
          <t>Not Started</t>
        </is>
      </c>
    </row>
    <row r="13">
      <c r="A13" s="4" t="inlineStr">
        <is>
          <t>2</t>
        </is>
      </c>
      <c r="B13" s="4" t="inlineStr">
        <is>
          <t>P2</t>
        </is>
      </c>
      <c r="C13" s="4" t="inlineStr">
        <is>
          <t>Guide</t>
        </is>
      </c>
      <c r="D13" s="4" t="inlineStr">
        <is>
          <t>Tap Water in Canberra: Water Quality &amp; What to Know</t>
        </is>
      </c>
      <c r="E13" s="4" t="inlineStr">
        <is>
          <t>/blogs/tap-water-canberra</t>
        </is>
      </c>
      <c r="F13" s="4" t="inlineStr">
        <is>
          <t>canberra water quality</t>
        </is>
      </c>
      <c r="G13" s="5" t="n">
        <v>110</v>
      </c>
      <c r="H13" s="4" t="inlineStr"/>
      <c r="I13" s="5" t="n">
        <v>110</v>
      </c>
      <c r="J13" s="4" t="inlineStr">
        <is>
          <t>Canberra has $2.88 CPC — highest in entire city cluster. Small but high commercial intent.</t>
        </is>
      </c>
      <c r="K13" s="4" t="inlineStr">
        <is>
          <t>All</t>
        </is>
      </c>
      <c r="L13" s="5" t="n">
        <v>15</v>
      </c>
      <c r="M13" s="4" t="inlineStr">
        <is>
          <t>Not Started</t>
        </is>
      </c>
    </row>
    <row r="14">
      <c r="A14" s="6" t="inlineStr">
        <is>
          <t>2</t>
        </is>
      </c>
      <c r="B14" s="6" t="inlineStr">
        <is>
          <t>P1</t>
        </is>
      </c>
      <c r="C14" s="6" t="inlineStr">
        <is>
          <t>Guide</t>
        </is>
      </c>
      <c r="D14" s="6" t="inlineStr">
        <is>
          <t>PFAS &amp; Forever Chemicals in Australian Water</t>
        </is>
      </c>
      <c r="E14" s="6" t="inlineStr">
        <is>
          <t>/blogs/pfas-water-australia</t>
        </is>
      </c>
      <c r="F14" s="6" t="inlineStr">
        <is>
          <t>pfas water filter</t>
        </is>
      </c>
      <c r="G14" s="7" t="n">
        <v>480</v>
      </c>
      <c r="H14" s="6" t="inlineStr">
        <is>
          <t>pfas in water, pfas australia, pfas filter, forever chemicals australia, pfas in drinking water, remove pfas from water</t>
        </is>
      </c>
      <c r="I14" s="7" t="n">
        <v>1640</v>
      </c>
      <c r="J14" s="6" t="inlineStr">
        <is>
          <t>Spike-ready content. Explain PFAS, where found in AU, which filters remove them. Key message: RO removes PFAS, most tap filters don't.</t>
        </is>
      </c>
      <c r="K14" s="6" t="inlineStr">
        <is>
          <t>Countertop RO</t>
        </is>
      </c>
      <c r="L14" s="7" t="n">
        <v>150</v>
      </c>
      <c r="M14" s="6" t="inlineStr">
        <is>
          <t>Not Started</t>
        </is>
      </c>
    </row>
    <row r="15">
      <c r="A15" s="4" t="inlineStr">
        <is>
          <t>2</t>
        </is>
      </c>
      <c r="B15" s="4" t="inlineStr">
        <is>
          <t>P1</t>
        </is>
      </c>
      <c r="C15" s="4" t="inlineStr">
        <is>
          <t>Guide</t>
        </is>
      </c>
      <c r="D15" s="4" t="inlineStr">
        <is>
          <t>Fluoride in Australian Tap Water: Facts, Risks &amp; How to Remove It</t>
        </is>
      </c>
      <c r="E15" s="4" t="inlineStr">
        <is>
          <t>/blogs/fluoride-in-water-australia</t>
        </is>
      </c>
      <c r="F15" s="4" t="inlineStr">
        <is>
          <t>fluoride in water</t>
        </is>
      </c>
      <c r="G15" s="5" t="n">
        <v>2400</v>
      </c>
      <c r="H15" s="4" t="inlineStr">
        <is>
          <t>fluoride water filter, water filter that removes fluoride, fluoride filter, fluoride in water australia, remove fluoride from water</t>
        </is>
      </c>
      <c r="I15" s="5" t="n">
        <v>4560</v>
      </c>
      <c r="J15" s="4" t="inlineStr">
        <is>
          <t>High-volume, controversial. Present facts neutrally. Key message: only RO removes fluoride. Links to RO product.</t>
        </is>
      </c>
      <c r="K15" s="4" t="inlineStr">
        <is>
          <t>Countertop RO</t>
        </is>
      </c>
      <c r="L15" s="5" t="n">
        <v>400</v>
      </c>
      <c r="M15" s="4" t="inlineStr">
        <is>
          <t>Not Started</t>
        </is>
      </c>
    </row>
    <row r="16">
      <c r="A16" s="6" t="inlineStr">
        <is>
          <t>2</t>
        </is>
      </c>
      <c r="B16" s="6" t="inlineStr">
        <is>
          <t>P2</t>
        </is>
      </c>
      <c r="C16" s="6" t="inlineStr">
        <is>
          <t>Guide</t>
        </is>
      </c>
      <c r="D16" s="6" t="inlineStr">
        <is>
          <t>Microplastics in Drinking Water: Should You Be Worried?</t>
        </is>
      </c>
      <c r="E16" s="6" t="inlineStr">
        <is>
          <t>/blogs/microplastics-water-filter</t>
        </is>
      </c>
      <c r="F16" s="6" t="inlineStr">
        <is>
          <t>microplastics water filter</t>
        </is>
      </c>
      <c r="G16" s="7" t="n">
        <v>320</v>
      </c>
      <c r="H16" s="6" t="inlineStr">
        <is>
          <t>microplastics filter, microplastics in water, microplastics in drinking water, microplastics in tap water, microplastics in bottled water, remove microplastics from water</t>
        </is>
      </c>
      <c r="I16" s="7" t="n">
        <v>730</v>
      </c>
      <c r="J16" s="6" t="inlineStr">
        <is>
          <t>Fastest growing cluster (doubling in 2 months). Cover what they are, recent studies, which filters remove them. First-mover advantage.</t>
        </is>
      </c>
      <c r="K16" s="6" t="inlineStr">
        <is>
          <t>All</t>
        </is>
      </c>
      <c r="L16" s="7" t="n">
        <v>100</v>
      </c>
      <c r="M16" s="6" t="inlineStr">
        <is>
          <t>Not Started</t>
        </is>
      </c>
    </row>
    <row r="17">
      <c r="A17" s="4" t="inlineStr">
        <is>
          <t>2</t>
        </is>
      </c>
      <c r="B17" s="4" t="inlineStr">
        <is>
          <t>P2</t>
        </is>
      </c>
      <c r="C17" s="4" t="inlineStr">
        <is>
          <t>Guide</t>
        </is>
      </c>
      <c r="D17" s="4" t="inlineStr">
        <is>
          <t>Hard Water in Australia: Where It Is, What It Does &amp; How to Fix It</t>
        </is>
      </c>
      <c r="E17" s="4" t="inlineStr">
        <is>
          <t>/blogs/hard-water-australia</t>
        </is>
      </c>
      <c r="F17" s="4" t="inlineStr">
        <is>
          <t>hard water</t>
        </is>
      </c>
      <c r="G17" s="5" t="n">
        <v>1900</v>
      </c>
      <c r="H17" s="4" t="inlineStr">
        <is>
          <t>hard water australia, hard water filter, water hardness australia, limescale, water softener, hard water hair, hard water eczema, hard water perth, hard water melbourne, hard water sydney</t>
        </is>
      </c>
      <c r="I17" s="5" t="n">
        <v>8414</v>
      </c>
      <c r="J17" s="4" t="inlineStr">
        <is>
          <t>Comprehensive hard water guide with AU map by city. Link to ShowerPro for shower, RO for drinking. Hub for city pages.</t>
        </is>
      </c>
      <c r="K17" s="4" t="inlineStr">
        <is>
          <t>ShowerPro + RO</t>
        </is>
      </c>
      <c r="L17" s="5" t="n">
        <v>600</v>
      </c>
      <c r="M17" s="4" t="inlineStr">
        <is>
          <t>Not Started</t>
        </is>
      </c>
    </row>
    <row r="18">
      <c r="A18" s="6" t="inlineStr">
        <is>
          <t>2</t>
        </is>
      </c>
      <c r="B18" s="6" t="inlineStr">
        <is>
          <t>P2</t>
        </is>
      </c>
      <c r="C18" s="6" t="inlineStr">
        <is>
          <t>Guide</t>
        </is>
      </c>
      <c r="D18" s="6" t="inlineStr">
        <is>
          <t>Chlorine in Tap Water: Why It's There &amp; Should You Filter It?</t>
        </is>
      </c>
      <c r="E18" s="6" t="inlineStr">
        <is>
          <t>/blogs/chlorine-in-tap-water</t>
        </is>
      </c>
      <c r="F18" s="6" t="inlineStr">
        <is>
          <t>chlorine in water</t>
        </is>
      </c>
      <c r="G18" s="7" t="n">
        <v>260</v>
      </c>
      <c r="H18" s="6" t="inlineStr">
        <is>
          <t>chlorine in tap water, chlorine water filter, remove chlorine from water, chlorine skin, chlorine hair damage</t>
        </is>
      </c>
      <c r="I18" s="7" t="n">
        <v>620</v>
      </c>
      <c r="J18" s="6" t="inlineStr">
        <is>
          <t>Practical guide. Every Tapp product removes chlorine — cross-sell opportunity for all three products.</t>
        </is>
      </c>
      <c r="K18" s="6" t="inlineStr">
        <is>
          <t>All</t>
        </is>
      </c>
      <c r="L18" s="7" t="n">
        <v>80</v>
      </c>
      <c r="M18" s="6" t="inlineStr">
        <is>
          <t>Not Started</t>
        </is>
      </c>
    </row>
    <row r="19">
      <c r="A19" s="8" t="inlineStr">
        <is>
          <t>3</t>
        </is>
      </c>
      <c r="B19" s="8" t="inlineStr">
        <is>
          <t>P2</t>
        </is>
      </c>
      <c r="C19" s="8" t="inlineStr">
        <is>
          <t>Guide</t>
        </is>
      </c>
      <c r="D19" s="8" t="inlineStr">
        <is>
          <t>Shower Filter for Hard Water: Does It Actually Work?</t>
        </is>
      </c>
      <c r="E19" s="8" t="inlineStr">
        <is>
          <t>/blogs/shower-filter-hard-water</t>
        </is>
      </c>
      <c r="F19" s="8" t="inlineStr">
        <is>
          <t>shower filter for hard water</t>
        </is>
      </c>
      <c r="G19" s="9" t="n">
        <v>1000</v>
      </c>
      <c r="H19" s="8" t="inlineStr">
        <is>
          <t>hard water shower</t>
        </is>
      </c>
      <c r="I19" s="9" t="n">
        <v>1040</v>
      </c>
      <c r="J19" s="8" t="inlineStr">
        <is>
          <t>Problem-solution content. What shower filters can/can't do for hard water. Link to ShowerPro.</t>
        </is>
      </c>
      <c r="K19" s="8" t="inlineStr">
        <is>
          <t>ShowerPro</t>
        </is>
      </c>
      <c r="L19" s="9" t="n">
        <v>150</v>
      </c>
      <c r="M19" s="8" t="inlineStr">
        <is>
          <t>Not Started</t>
        </is>
      </c>
    </row>
    <row r="20">
      <c r="A20" s="6" t="inlineStr">
        <is>
          <t>3</t>
        </is>
      </c>
      <c r="B20" s="6" t="inlineStr">
        <is>
          <t>P2</t>
        </is>
      </c>
      <c r="C20" s="6" t="inlineStr">
        <is>
          <t>Guide</t>
        </is>
      </c>
      <c r="D20" s="6" t="inlineStr">
        <is>
          <t>Shower Filter for Chlorine: Protect Your Hair &amp; Skin</t>
        </is>
      </c>
      <c r="E20" s="6" t="inlineStr">
        <is>
          <t>/blogs/shower-filter-chlorine</t>
        </is>
      </c>
      <c r="F20" s="6" t="inlineStr">
        <is>
          <t>shower filter for chlorine</t>
        </is>
      </c>
      <c r="G20" s="7" t="n">
        <v>390</v>
      </c>
      <c r="H20" s="6" t="inlineStr">
        <is>
          <t>chlorine shower filter, chlorine hair damage, chlorine skin</t>
        </is>
      </c>
      <c r="I20" s="7" t="n">
        <v>920</v>
      </c>
      <c r="J20" s="6" t="inlineStr">
        <is>
          <t>Health/beauty angle. Chlorine damage to hair and skin, how shower filters help. Before/after messaging.</t>
        </is>
      </c>
      <c r="K20" s="6" t="inlineStr">
        <is>
          <t>ShowerPro</t>
        </is>
      </c>
      <c r="L20" s="7" t="n">
        <v>120</v>
      </c>
      <c r="M20" s="6" t="inlineStr">
        <is>
          <t>Not Started</t>
        </is>
      </c>
    </row>
    <row r="21">
      <c r="A21" s="4" t="inlineStr">
        <is>
          <t>3</t>
        </is>
      </c>
      <c r="B21" s="4" t="inlineStr">
        <is>
          <t>P2</t>
        </is>
      </c>
      <c r="C21" s="4" t="inlineStr">
        <is>
          <t>Guide</t>
        </is>
      </c>
      <c r="D21" s="4" t="inlineStr">
        <is>
          <t>Can a Shower Filter Help Eczema?</t>
        </is>
      </c>
      <c r="E21" s="4" t="inlineStr">
        <is>
          <t>/blogs/shower-filter-eczema</t>
        </is>
      </c>
      <c r="F21" s="4" t="inlineStr">
        <is>
          <t>shower filter for eczema</t>
        </is>
      </c>
      <c r="G21" s="5" t="n">
        <v>70</v>
      </c>
      <c r="H21" s="4" t="inlineStr">
        <is>
          <t>hard water eczema, water filter for eczema</t>
        </is>
      </c>
      <c r="I21" s="5" t="n">
        <v>120</v>
      </c>
      <c r="J21" s="4" t="inlineStr">
        <is>
          <t>Small volume but SPIKING (40→140 Jan '26). High emotional intent. Cite studies and customer reviews.</t>
        </is>
      </c>
      <c r="K21" s="4" t="inlineStr">
        <is>
          <t>ShowerPro</t>
        </is>
      </c>
      <c r="L21" s="5" t="n">
        <v>30</v>
      </c>
      <c r="M21" s="4" t="inlineStr">
        <is>
          <t>Not Started</t>
        </is>
      </c>
    </row>
    <row r="22">
      <c r="A22" s="6" t="inlineStr">
        <is>
          <t>3</t>
        </is>
      </c>
      <c r="B22" s="6" t="inlineStr">
        <is>
          <t>P3</t>
        </is>
      </c>
      <c r="C22" s="6" t="inlineStr">
        <is>
          <t>Guide</t>
        </is>
      </c>
      <c r="D22" s="6" t="inlineStr">
        <is>
          <t>Shower Filter for Hair Loss: What the Science Says</t>
        </is>
      </c>
      <c r="E22" s="6" t="inlineStr">
        <is>
          <t>/blogs/shower-filter-hair-loss</t>
        </is>
      </c>
      <c r="F22" s="6" t="inlineStr">
        <is>
          <t>shower filter for hair loss</t>
        </is>
      </c>
      <c r="G22" s="7" t="n">
        <v>30</v>
      </c>
      <c r="H22" s="6" t="inlineStr">
        <is>
          <t>hard water hair loss, hard water hair</t>
        </is>
      </c>
      <c r="I22" s="7" t="n">
        <v>190</v>
      </c>
      <c r="J22" s="6" t="inlineStr">
        <is>
          <t>Spiking from near-zero. Honest, science-backed content. Growing awareness cluster.</t>
        </is>
      </c>
      <c r="K22" s="6" t="inlineStr">
        <is>
          <t>ShowerPro</t>
        </is>
      </c>
      <c r="L22" s="7" t="n">
        <v>25</v>
      </c>
      <c r="M22" s="6" t="inlineStr">
        <is>
          <t>Not Started</t>
        </is>
      </c>
    </row>
    <row r="23">
      <c r="A23" s="4" t="inlineStr">
        <is>
          <t>3</t>
        </is>
      </c>
      <c r="B23" s="4" t="inlineStr">
        <is>
          <t>P2</t>
        </is>
      </c>
      <c r="C23" s="4" t="inlineStr">
        <is>
          <t>Comparison</t>
        </is>
      </c>
      <c r="D23" s="4" t="inlineStr">
        <is>
          <t>Reverse Osmosis vs Tap Water Filter: Which Do You Need?</t>
        </is>
      </c>
      <c r="E23" s="4" t="inlineStr">
        <is>
          <t>/blogs/reverse-osmosis-vs-tap-filter</t>
        </is>
      </c>
      <c r="F23" s="4" t="inlineStr">
        <is>
          <t>reverse osmosis vs water filter</t>
        </is>
      </c>
      <c r="G23" s="5" t="n">
        <v>20</v>
      </c>
      <c r="H23" s="4" t="inlineStr">
        <is>
          <t>water filter comparison, tap water vs filtered water</t>
        </is>
      </c>
      <c r="I23" s="5" t="n">
        <v>160</v>
      </c>
      <c r="J23" s="4" t="inlineStr">
        <is>
          <t>Decision-stage content. When do you need RO vs a simple tap filter? Guide people to the right Tapp product.</t>
        </is>
      </c>
      <c r="K23" s="4" t="inlineStr">
        <is>
          <t>All</t>
        </is>
      </c>
      <c r="L23" s="5" t="n">
        <v>25</v>
      </c>
      <c r="M23" s="4" t="inlineStr">
        <is>
          <t>Not Started</t>
        </is>
      </c>
    </row>
    <row r="24">
      <c r="A24" s="6" t="inlineStr">
        <is>
          <t>3</t>
        </is>
      </c>
      <c r="B24" s="6" t="inlineStr">
        <is>
          <t>P2</t>
        </is>
      </c>
      <c r="C24" s="6" t="inlineStr">
        <is>
          <t>Comparison</t>
        </is>
      </c>
      <c r="D24" s="6" t="inlineStr">
        <is>
          <t>Countertop vs Under-Sink Reverse Osmosis: Pros, Cons &amp; Which to Buy</t>
        </is>
      </c>
      <c r="E24" s="6" t="inlineStr">
        <is>
          <t>/blogs/countertop-vs-under-sink-ro</t>
        </is>
      </c>
      <c r="F24" s="6" t="inlineStr">
        <is>
          <t>countertop reverse osmosis</t>
        </is>
      </c>
      <c r="G24" s="7" t="n">
        <v>210</v>
      </c>
      <c r="H24" s="6" t="inlineStr">
        <is>
          <t>under sink reverse osmosis</t>
        </is>
      </c>
      <c r="I24" s="7" t="n">
        <v>470</v>
      </c>
      <c r="J24" s="6" t="inlineStr">
        <is>
          <t>Direct comparison. Tapp's no-install advantage vs under-sink hassle. Perfect for renters and apartments.</t>
        </is>
      </c>
      <c r="K24" s="6" t="inlineStr">
        <is>
          <t>Countertop RO</t>
        </is>
      </c>
      <c r="L24" s="7" t="n">
        <v>60</v>
      </c>
      <c r="M24" s="6" t="inlineStr">
        <is>
          <t>Not Started</t>
        </is>
      </c>
    </row>
    <row r="25">
      <c r="A25" s="4" t="inlineStr">
        <is>
          <t>3</t>
        </is>
      </c>
      <c r="B25" s="4" t="inlineStr">
        <is>
          <t>P3</t>
        </is>
      </c>
      <c r="C25" s="4" t="inlineStr">
        <is>
          <t>Guide</t>
        </is>
      </c>
      <c r="D25" s="4" t="inlineStr">
        <is>
          <t>Best Water Filter for Renters (No Installation Required)</t>
        </is>
      </c>
      <c r="E25" s="4" t="inlineStr">
        <is>
          <t>/blogs/water-filter-for-renters</t>
        </is>
      </c>
      <c r="F25" s="4" t="inlineStr">
        <is>
          <t>water filter for renters</t>
        </is>
      </c>
      <c r="G25" s="5" t="n">
        <v>10</v>
      </c>
      <c r="H25" s="4" t="inlineStr">
        <is>
          <t>reverse osmosis for renters, water filter no installation</t>
        </is>
      </c>
      <c r="I25" s="5" t="n">
        <v>50</v>
      </c>
      <c r="J25" s="4" t="inlineStr">
        <is>
          <t>Tiny volume now but perfectly aligned with Tapp USP. Own before it grows. Targets emerging 'RO for renters' related searches.</t>
        </is>
      </c>
      <c r="K25" s="4" t="inlineStr">
        <is>
          <t>All</t>
        </is>
      </c>
      <c r="L25" s="5" t="n">
        <v>10</v>
      </c>
      <c r="M25" s="4" t="inlineStr">
        <is>
          <t>Not Started</t>
        </is>
      </c>
    </row>
    <row r="26">
      <c r="A26" s="6" t="inlineStr">
        <is>
          <t>3</t>
        </is>
      </c>
      <c r="B26" s="6" t="inlineStr">
        <is>
          <t>P2</t>
        </is>
      </c>
      <c r="C26" s="6" t="inlineStr">
        <is>
          <t>Guide</t>
        </is>
      </c>
      <c r="D26" s="6" t="inlineStr">
        <is>
          <t>Water Filter for Caravans: What to Look For</t>
        </is>
      </c>
      <c r="E26" s="6" t="inlineStr">
        <is>
          <t>/blogs/water-filter-caravan</t>
        </is>
      </c>
      <c r="F26" s="6" t="inlineStr">
        <is>
          <t>water filter caravan</t>
        </is>
      </c>
      <c r="G26" s="7" t="n">
        <v>2900</v>
      </c>
      <c r="H26" s="6" t="inlineStr">
        <is>
          <t>water filter camping</t>
        </is>
      </c>
      <c r="I26" s="7" t="n">
        <v>3780</v>
      </c>
      <c r="J26" s="6" t="inlineStr">
        <is>
          <t>Huge AU-specific volume. Even without a dedicated caravan product, capture traffic and position countertop RO as an option.</t>
        </is>
      </c>
      <c r="K26" s="6" t="inlineStr">
        <is>
          <t>Countertop RO</t>
        </is>
      </c>
      <c r="L26" s="7" t="n">
        <v>300</v>
      </c>
      <c r="M26" s="6" t="inlineStr">
        <is>
          <t>Not Started</t>
        </is>
      </c>
    </row>
    <row r="27">
      <c r="A27" s="4" t="inlineStr">
        <is>
          <t>3</t>
        </is>
      </c>
      <c r="B27" s="4" t="inlineStr">
        <is>
          <t>P3</t>
        </is>
      </c>
      <c r="C27" s="4" t="inlineStr">
        <is>
          <t>Comparison</t>
        </is>
      </c>
      <c r="D27" s="4" t="inlineStr">
        <is>
          <t>Tapp Water vs Brita: Which Filter Is Better?</t>
        </is>
      </c>
      <c r="E27" s="4" t="inlineStr">
        <is>
          <t>/blogs/tapp-vs-brita</t>
        </is>
      </c>
      <c r="F27" s="4" t="inlineStr">
        <is>
          <t>brita water filter</t>
        </is>
      </c>
      <c r="G27" s="5" t="n">
        <v>18100</v>
      </c>
      <c r="H27" s="4" t="inlineStr">
        <is>
          <t>brita alternative, brita filter review, brita replacement filter</t>
        </is>
      </c>
      <c r="I27" s="5" t="n">
        <v>18220</v>
      </c>
      <c r="J27" s="4" t="inlineStr">
        <is>
          <t>Competitor comparison. Honest head-to-head. Capture people considering or already using Brita.</t>
        </is>
      </c>
      <c r="K27" s="4" t="inlineStr">
        <is>
          <t>EcoPro</t>
        </is>
      </c>
      <c r="L27" s="5" t="n">
        <v>200</v>
      </c>
      <c r="M27" s="4" t="inlineStr">
        <is>
          <t>Not Started</t>
        </is>
      </c>
    </row>
    <row r="28">
      <c r="A28" s="6" t="inlineStr">
        <is>
          <t>3</t>
        </is>
      </c>
      <c r="B28" s="6" t="inlineStr">
        <is>
          <t>P3</t>
        </is>
      </c>
      <c r="C28" s="6" t="inlineStr">
        <is>
          <t>Guide</t>
        </is>
      </c>
      <c r="D28" s="6" t="inlineStr">
        <is>
          <t>Water Filters at Bunnings: What They Stock &amp; What They Miss</t>
        </is>
      </c>
      <c r="E28" s="6" t="inlineStr">
        <is>
          <t>/blogs/water-filter-bunnings</t>
        </is>
      </c>
      <c r="F28" s="6" t="inlineStr">
        <is>
          <t>water filter bunnings</t>
        </is>
      </c>
      <c r="G28" s="7" t="n">
        <v>12100</v>
      </c>
      <c r="H28" s="6" t="inlineStr">
        <is>
          <t>reverse osmosis water filter bunnings</t>
        </is>
      </c>
      <c r="I28" s="7" t="n">
        <v>12690</v>
      </c>
      <c r="J28" s="6" t="inlineStr">
        <is>
          <t>Intercept Bunnings shoppers. Cover what Bunnings stocks vs what they don't (countertop RO, subscription filters).</t>
        </is>
      </c>
      <c r="K28" s="6" t="inlineStr">
        <is>
          <t>All</t>
        </is>
      </c>
      <c r="L28" s="7" t="n">
        <v>400</v>
      </c>
      <c r="M28" s="6" t="inlineStr">
        <is>
          <t>Not Started</t>
        </is>
      </c>
    </row>
    <row r="29">
      <c r="A29" s="4" t="inlineStr">
        <is>
          <t>3</t>
        </is>
      </c>
      <c r="B29" s="4" t="inlineStr">
        <is>
          <t>P3</t>
        </is>
      </c>
      <c r="C29" s="4" t="inlineStr">
        <is>
          <t>Guide</t>
        </is>
      </c>
      <c r="D29" s="4" t="inlineStr">
        <is>
          <t>Is Bottled Water Better Than Tap? The Truth for Australians</t>
        </is>
      </c>
      <c r="E29" s="4" t="inlineStr">
        <is>
          <t>/blogs/bottled-water-vs-tap-water</t>
        </is>
      </c>
      <c r="F29" s="4" t="inlineStr">
        <is>
          <t>is bottled water better than tap</t>
        </is>
      </c>
      <c r="G29" s="5" t="n">
        <v>90</v>
      </c>
      <c r="H29" s="4" t="inlineStr">
        <is>
          <t>bottled water plastic, microplastics in bottled water, bottled water vs filtered water, bottled water australia, water filter vs bottled water</t>
        </is>
      </c>
      <c r="I29" s="5" t="n">
        <v>530</v>
      </c>
      <c r="J29" s="4" t="inlineStr">
        <is>
          <t>Brand story content. Cost comparison, environmental angle, microplastics in bottles. Social sharing + link building.</t>
        </is>
      </c>
      <c r="K29" s="4" t="inlineStr">
        <is>
          <t>All</t>
        </is>
      </c>
      <c r="L29" s="5" t="n">
        <v>50</v>
      </c>
      <c r="M29" s="4" t="inlineStr">
        <is>
          <t>Not Started</t>
        </is>
      </c>
    </row>
    <row r="30">
      <c r="A30" s="6" t="inlineStr">
        <is>
          <t>3</t>
        </is>
      </c>
      <c r="B30" s="6" t="inlineStr">
        <is>
          <t>P3</t>
        </is>
      </c>
      <c r="C30" s="6" t="inlineStr">
        <is>
          <t>Guide</t>
        </is>
      </c>
      <c r="D30" s="6" t="inlineStr">
        <is>
          <t>Water Filter for Your Office: Best Options 2026</t>
        </is>
      </c>
      <c r="E30" s="6" t="inlineStr">
        <is>
          <t>/blogs/water-filter-office</t>
        </is>
      </c>
      <c r="F30" s="6" t="inlineStr">
        <is>
          <t>water filter office</t>
        </is>
      </c>
      <c r="G30" s="7" t="n">
        <v>210</v>
      </c>
      <c r="H30" s="6" t="inlineStr"/>
      <c r="I30" s="7" t="n">
        <v>210</v>
      </c>
      <c r="J30" s="6" t="inlineStr">
        <is>
          <t>Highest CPC use-case ($1.86). Position countertop RO as the no-install office solution.</t>
        </is>
      </c>
      <c r="K30" s="6" t="inlineStr">
        <is>
          <t>Countertop RO</t>
        </is>
      </c>
      <c r="L30" s="7" t="n">
        <v>30</v>
      </c>
      <c r="M30" s="6" t="inlineStr">
        <is>
          <t>Not Started</t>
        </is>
      </c>
    </row>
    <row r="31">
      <c r="A31" s="4" t="inlineStr">
        <is>
          <t>3</t>
        </is>
      </c>
      <c r="B31" s="4" t="inlineStr">
        <is>
          <t>P3</t>
        </is>
      </c>
      <c r="C31" s="4" t="inlineStr">
        <is>
          <t>Guide</t>
        </is>
      </c>
      <c r="D31" s="4" t="inlineStr">
        <is>
          <t>Lead in Australian Tap Water: Should You Be Concerned?</t>
        </is>
      </c>
      <c r="E31" s="4" t="inlineStr">
        <is>
          <t>/blogs/lead-in-water-australia</t>
        </is>
      </c>
      <c r="F31" s="4" t="inlineStr">
        <is>
          <t>lead in water</t>
        </is>
      </c>
      <c r="G31" s="5" t="n">
        <v>90</v>
      </c>
      <c r="H31" s="4" t="inlineStr">
        <is>
          <t>lead water filter</t>
        </is>
      </c>
      <c r="I31" s="5" t="n">
        <v>160</v>
      </c>
      <c r="J31" s="4" t="inlineStr">
        <is>
          <t>Lead water filter term TRIPLING (30→140). Another RO advantage piece.</t>
        </is>
      </c>
      <c r="K31" s="4" t="inlineStr">
        <is>
          <t>Countertop RO</t>
        </is>
      </c>
      <c r="L31" s="5" t="n">
        <v>20</v>
      </c>
      <c r="M31" s="4" t="inlineStr">
        <is>
          <t>Not Started</t>
        </is>
      </c>
    </row>
    <row r="32">
      <c r="A32" s="6" t="inlineStr">
        <is>
          <t>3</t>
        </is>
      </c>
      <c r="B32" s="6" t="inlineStr">
        <is>
          <t>P3</t>
        </is>
      </c>
      <c r="C32" s="6" t="inlineStr">
        <is>
          <t>Guide</t>
        </is>
      </c>
      <c r="D32" s="6" t="inlineStr">
        <is>
          <t>Vitamin C Shower Filter: Do They Actually Work?</t>
        </is>
      </c>
      <c r="E32" s="6" t="inlineStr">
        <is>
          <t>/blogs/vitamin-c-shower-filter</t>
        </is>
      </c>
      <c r="F32" s="6" t="inlineStr">
        <is>
          <t>vitamin c shower filter</t>
        </is>
      </c>
      <c r="G32" s="7" t="n">
        <v>210</v>
      </c>
      <c r="H32" s="6" t="inlineStr"/>
      <c r="I32" s="7" t="n">
        <v>210</v>
      </c>
      <c r="J32" s="6" t="inlineStr">
        <is>
          <t>Informational content comparing vitamin C media to KDF/calcium sulfite (what ShowerPro uses).</t>
        </is>
      </c>
      <c r="K32" s="6" t="inlineStr">
        <is>
          <t>ShowerPro</t>
        </is>
      </c>
      <c r="L32" s="7" t="n">
        <v>30</v>
      </c>
      <c r="M32" s="6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4" customWidth="1" min="4" max="4"/>
    <col width="24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Keyword</t>
        </is>
      </c>
      <c r="B1" s="1" t="inlineStr">
        <is>
          <t>Monthly Volume (AU)</t>
        </is>
      </c>
      <c r="C1" s="1" t="inlineStr">
        <is>
          <t>CPC (USD)</t>
        </is>
      </c>
      <c r="D1" s="1" t="inlineStr">
        <is>
          <t>Competition</t>
        </is>
      </c>
      <c r="E1" s="1" t="inlineStr">
        <is>
          <t>Cluster</t>
        </is>
      </c>
      <c r="F1" s="1" t="inlineStr">
        <is>
          <t>Trend Direction</t>
        </is>
      </c>
      <c r="G1" s="1" t="inlineStr">
        <is>
          <t>Current Tapp Ranking</t>
        </is>
      </c>
      <c r="H1" s="1" t="inlineStr">
        <is>
          <t>Target Page</t>
        </is>
      </c>
    </row>
    <row r="2">
      <c r="A2" s="6" t="inlineStr">
        <is>
          <t>water filter</t>
        </is>
      </c>
      <c r="B2" s="7" t="n">
        <v>33100</v>
      </c>
      <c r="C2" s="10" t="n">
        <v>1.21</v>
      </c>
      <c r="D2" s="6" t="n">
        <v>1</v>
      </c>
      <c r="E2" s="6" t="inlineStr">
        <is>
          <t>Tap Filter</t>
        </is>
      </c>
      <c r="F2" s="4" t="inlineStr">
        <is>
          <t>Stable</t>
        </is>
      </c>
      <c r="G2" s="6" t="inlineStr"/>
      <c r="H2" s="6" t="inlineStr">
        <is>
          <t>Best Water Filter Australia 2026</t>
        </is>
      </c>
    </row>
    <row r="3">
      <c r="A3" s="4" t="inlineStr">
        <is>
          <t>brita water filter</t>
        </is>
      </c>
      <c r="B3" s="5" t="n">
        <v>18100</v>
      </c>
      <c r="C3" s="11" t="n">
        <v>0.31</v>
      </c>
      <c r="D3" s="4" t="n">
        <v>1</v>
      </c>
      <c r="E3" s="4" t="inlineStr">
        <is>
          <t>Tap Filter</t>
        </is>
      </c>
      <c r="F3" s="4" t="inlineStr">
        <is>
          <t>Stable</t>
        </is>
      </c>
      <c r="G3" s="4" t="inlineStr"/>
      <c r="H3" s="4" t="inlineStr">
        <is>
          <t>Tapp vs Brita</t>
        </is>
      </c>
    </row>
    <row r="4">
      <c r="A4" s="6" t="inlineStr">
        <is>
          <t>tap water filter</t>
        </is>
      </c>
      <c r="B4" s="7" t="n">
        <v>12100</v>
      </c>
      <c r="C4" s="10" t="n">
        <v>0.86</v>
      </c>
      <c r="D4" s="6" t="n">
        <v>1</v>
      </c>
      <c r="E4" s="6" t="inlineStr">
        <is>
          <t>Tap Filter</t>
        </is>
      </c>
      <c r="F4" s="4" t="inlineStr">
        <is>
          <t>Stable</t>
        </is>
      </c>
      <c r="G4" s="6" t="inlineStr">
        <is>
          <t>#9</t>
        </is>
      </c>
      <c r="H4" s="6" t="inlineStr">
        <is>
          <t>EcoPro Product Page</t>
        </is>
      </c>
    </row>
    <row r="5">
      <c r="A5" s="4" t="inlineStr">
        <is>
          <t>water filter jug</t>
        </is>
      </c>
      <c r="B5" s="5" t="n">
        <v>12100</v>
      </c>
      <c r="C5" s="11" t="n">
        <v>0.58</v>
      </c>
      <c r="D5" s="4" t="n">
        <v>1</v>
      </c>
      <c r="E5" s="4" t="inlineStr">
        <is>
          <t>Tap Filter</t>
        </is>
      </c>
      <c r="F5" s="4" t="inlineStr">
        <is>
          <t>Stable</t>
        </is>
      </c>
      <c r="G5" s="4" t="inlineStr">
        <is>
          <t>#8</t>
        </is>
      </c>
      <c r="H5" s="4" t="inlineStr">
        <is>
          <t>Best Water Filter Australia 2026</t>
        </is>
      </c>
    </row>
    <row r="6">
      <c r="A6" s="6" t="inlineStr">
        <is>
          <t>faucet water filter</t>
        </is>
      </c>
      <c r="B6" s="7" t="n">
        <v>8100</v>
      </c>
      <c r="C6" s="10" t="n">
        <v>0.85</v>
      </c>
      <c r="D6" s="6" t="n">
        <v>1</v>
      </c>
      <c r="E6" s="6" t="inlineStr">
        <is>
          <t>Tap Filter</t>
        </is>
      </c>
      <c r="F6" s="12" t="inlineStr">
        <is>
          <t>Rising</t>
        </is>
      </c>
      <c r="G6" s="6" t="inlineStr"/>
      <c r="H6" s="6" t="inlineStr">
        <is>
          <t>EcoPro Product Page</t>
        </is>
      </c>
    </row>
    <row r="7">
      <c r="A7" s="4" t="inlineStr">
        <is>
          <t>water filter tap</t>
        </is>
      </c>
      <c r="B7" s="5" t="n">
        <v>8100</v>
      </c>
      <c r="C7" s="11" t="n">
        <v>0.9399999999999999</v>
      </c>
      <c r="D7" s="4" t="n">
        <v>1</v>
      </c>
      <c r="E7" s="4" t="inlineStr">
        <is>
          <t>Tap Filter</t>
        </is>
      </c>
      <c r="F7" s="4" t="inlineStr">
        <is>
          <t>Stable</t>
        </is>
      </c>
      <c r="G7" s="4" t="inlineStr">
        <is>
          <t>#3</t>
        </is>
      </c>
      <c r="H7" s="4" t="inlineStr">
        <is>
          <t>EcoPro Product Page</t>
        </is>
      </c>
    </row>
    <row r="8">
      <c r="A8" s="6" t="inlineStr">
        <is>
          <t>water purifier</t>
        </is>
      </c>
      <c r="B8" s="7" t="n">
        <v>5400</v>
      </c>
      <c r="C8" s="10" t="n">
        <v>0.79</v>
      </c>
      <c r="D8" s="6" t="n">
        <v>1</v>
      </c>
      <c r="E8" s="6" t="inlineStr">
        <is>
          <t>Tap Filter</t>
        </is>
      </c>
      <c r="F8" s="4" t="inlineStr">
        <is>
          <t>Stable</t>
        </is>
      </c>
      <c r="G8" s="6" t="inlineStr"/>
      <c r="H8" s="6" t="inlineStr">
        <is>
          <t>Best Water Filter Australia 2026</t>
        </is>
      </c>
    </row>
    <row r="9">
      <c r="A9" s="4" t="inlineStr">
        <is>
          <t>under sink water filter</t>
        </is>
      </c>
      <c r="B9" s="5" t="n">
        <v>5400</v>
      </c>
      <c r="C9" s="11" t="n">
        <v>0.8100000000000001</v>
      </c>
      <c r="D9" s="4" t="n">
        <v>1</v>
      </c>
      <c r="E9" s="4" t="inlineStr">
        <is>
          <t>Tap Filter</t>
        </is>
      </c>
      <c r="F9" s="4" t="inlineStr">
        <is>
          <t>Stable</t>
        </is>
      </c>
      <c r="G9" s="4" t="inlineStr"/>
      <c r="H9" s="4" t="inlineStr">
        <is>
          <t>Best Water Filter Australia 2026</t>
        </is>
      </c>
    </row>
    <row r="10">
      <c r="A10" s="6" t="inlineStr">
        <is>
          <t>whole house water filter</t>
        </is>
      </c>
      <c r="B10" s="7" t="n">
        <v>5400</v>
      </c>
      <c r="C10" s="10" t="n">
        <v>1.77</v>
      </c>
      <c r="D10" s="6" t="n">
        <v>1</v>
      </c>
      <c r="E10" s="6" t="inlineStr">
        <is>
          <t>Tap Filter</t>
        </is>
      </c>
      <c r="F10" s="12" t="inlineStr">
        <is>
          <t>Rising</t>
        </is>
      </c>
      <c r="G10" s="6" t="inlineStr"/>
      <c r="H10" s="6" t="inlineStr"/>
    </row>
    <row r="11">
      <c r="A11" s="4" t="inlineStr">
        <is>
          <t>water filter bottle</t>
        </is>
      </c>
      <c r="B11" s="5" t="n">
        <v>4400</v>
      </c>
      <c r="C11" s="11" t="n">
        <v>0.44</v>
      </c>
      <c r="D11" s="4" t="n">
        <v>1</v>
      </c>
      <c r="E11" s="4" t="inlineStr">
        <is>
          <t>Tap Filter</t>
        </is>
      </c>
      <c r="F11" s="4" t="inlineStr">
        <is>
          <t>Stable</t>
        </is>
      </c>
      <c r="G11" s="4" t="inlineStr"/>
      <c r="H11" s="4" t="inlineStr"/>
    </row>
    <row r="12">
      <c r="A12" s="6" t="inlineStr">
        <is>
          <t>stefani water filter</t>
        </is>
      </c>
      <c r="B12" s="7" t="n">
        <v>4400</v>
      </c>
      <c r="C12" s="10" t="n">
        <v>0.06</v>
      </c>
      <c r="D12" s="6" t="n">
        <v>1</v>
      </c>
      <c r="E12" s="6" t="inlineStr">
        <is>
          <t>Tap Filter</t>
        </is>
      </c>
      <c r="F12" s="4" t="inlineStr">
        <is>
          <t>Stable</t>
        </is>
      </c>
      <c r="G12" s="6" t="inlineStr"/>
      <c r="H12" s="6" t="inlineStr"/>
    </row>
    <row r="13">
      <c r="A13" s="4" t="inlineStr">
        <is>
          <t>water filter australia</t>
        </is>
      </c>
      <c r="B13" s="5" t="n">
        <v>3600</v>
      </c>
      <c r="C13" s="11" t="n">
        <v>1.26</v>
      </c>
      <c r="D13" s="4" t="n">
        <v>1</v>
      </c>
      <c r="E13" s="4" t="inlineStr">
        <is>
          <t>Tap Filter</t>
        </is>
      </c>
      <c r="F13" s="4" t="inlineStr">
        <is>
          <t>Stable</t>
        </is>
      </c>
      <c r="G13" s="4" t="inlineStr"/>
      <c r="H13" s="4" t="inlineStr">
        <is>
          <t>Best Water Filter Australia 2026</t>
        </is>
      </c>
    </row>
    <row r="14">
      <c r="A14" s="6" t="inlineStr">
        <is>
          <t>best water filter australia</t>
        </is>
      </c>
      <c r="B14" s="7" t="n">
        <v>2400</v>
      </c>
      <c r="C14" s="10" t="n">
        <v>0.8100000000000001</v>
      </c>
      <c r="D14" s="6" t="n">
        <v>1</v>
      </c>
      <c r="E14" s="6" t="inlineStr">
        <is>
          <t>Tap Filter</t>
        </is>
      </c>
      <c r="F14" s="13" t="inlineStr">
        <is>
          <t>Declining</t>
        </is>
      </c>
      <c r="G14" s="6" t="inlineStr"/>
      <c r="H14" s="6" t="inlineStr">
        <is>
          <t>Best Water Filter Australia 2026</t>
        </is>
      </c>
    </row>
    <row r="15">
      <c r="A15" s="4" t="inlineStr">
        <is>
          <t>benchtop water filter</t>
        </is>
      </c>
      <c r="B15" s="5" t="n">
        <v>1900</v>
      </c>
      <c r="C15" s="11" t="n">
        <v>0.6899999999999999</v>
      </c>
      <c r="D15" s="4" t="n">
        <v>1</v>
      </c>
      <c r="E15" s="4" t="inlineStr">
        <is>
          <t>Tap Filter</t>
        </is>
      </c>
      <c r="F15" s="13" t="inlineStr">
        <is>
          <t>Declining</t>
        </is>
      </c>
      <c r="G15" s="4" t="inlineStr"/>
      <c r="H15" s="4" t="inlineStr">
        <is>
          <t>Best Water Filter Australia 2026</t>
        </is>
      </c>
    </row>
    <row r="16">
      <c r="A16" s="6" t="inlineStr">
        <is>
          <t>water filter cartridge</t>
        </is>
      </c>
      <c r="B16" s="7" t="n">
        <v>1600</v>
      </c>
      <c r="C16" s="10" t="n">
        <v>0.47</v>
      </c>
      <c r="D16" s="6" t="n">
        <v>1</v>
      </c>
      <c r="E16" s="6" t="inlineStr">
        <is>
          <t>Tap Filter</t>
        </is>
      </c>
      <c r="F16" s="4" t="inlineStr">
        <is>
          <t>Stable</t>
        </is>
      </c>
      <c r="G16" s="6" t="inlineStr"/>
      <c r="H16" s="6" t="inlineStr"/>
    </row>
    <row r="17">
      <c r="A17" s="4" t="inlineStr">
        <is>
          <t>alkaline water filter</t>
        </is>
      </c>
      <c r="B17" s="5" t="n">
        <v>1300</v>
      </c>
      <c r="C17" s="11" t="n">
        <v>0.97</v>
      </c>
      <c r="D17" s="4" t="n">
        <v>1</v>
      </c>
      <c r="E17" s="4" t="inlineStr">
        <is>
          <t>Tap Filter</t>
        </is>
      </c>
      <c r="F17" s="13" t="inlineStr">
        <is>
          <t>Declining</t>
        </is>
      </c>
      <c r="G17" s="4" t="inlineStr"/>
      <c r="H17" s="4" t="inlineStr"/>
    </row>
    <row r="18">
      <c r="A18" s="6" t="inlineStr">
        <is>
          <t>on tap water filter</t>
        </is>
      </c>
      <c r="B18" s="7" t="n">
        <v>880</v>
      </c>
      <c r="C18" s="10" t="n">
        <v>1.13</v>
      </c>
      <c r="D18" s="6" t="n">
        <v>1</v>
      </c>
      <c r="E18" s="6" t="inlineStr">
        <is>
          <t>Tap Filter</t>
        </is>
      </c>
      <c r="F18" s="4" t="inlineStr">
        <is>
          <t>Stable</t>
        </is>
      </c>
      <c r="G18" s="6" t="inlineStr"/>
      <c r="H18" s="6" t="inlineStr">
        <is>
          <t>EcoPro Product Page</t>
        </is>
      </c>
    </row>
    <row r="19">
      <c r="A19" s="4" t="inlineStr">
        <is>
          <t>water filter for tap australia</t>
        </is>
      </c>
      <c r="B19" s="5" t="n">
        <v>590</v>
      </c>
      <c r="C19" s="11" t="n">
        <v>1.14</v>
      </c>
      <c r="D19" s="4" t="n">
        <v>1</v>
      </c>
      <c r="E19" s="4" t="inlineStr">
        <is>
          <t>Tap Filter</t>
        </is>
      </c>
      <c r="F19" s="12" t="inlineStr">
        <is>
          <t>Rising</t>
        </is>
      </c>
      <c r="G19" s="4" t="inlineStr"/>
      <c r="H19" s="4" t="inlineStr">
        <is>
          <t>EcoPro Product Page</t>
        </is>
      </c>
    </row>
    <row r="20">
      <c r="A20" s="6" t="inlineStr">
        <is>
          <t>waterdrop filter</t>
        </is>
      </c>
      <c r="B20" s="7" t="n">
        <v>590</v>
      </c>
      <c r="C20" s="10" t="n">
        <v>0.31</v>
      </c>
      <c r="D20" s="6" t="n">
        <v>1</v>
      </c>
      <c r="E20" s="6" t="inlineStr">
        <is>
          <t>Tap Filter</t>
        </is>
      </c>
      <c r="F20" s="12" t="inlineStr">
        <is>
          <t>Rising</t>
        </is>
      </c>
      <c r="G20" s="6" t="inlineStr"/>
      <c r="H20" s="6" t="inlineStr"/>
    </row>
    <row r="21">
      <c r="A21" s="4" t="inlineStr">
        <is>
          <t>best faucet water filter</t>
        </is>
      </c>
      <c r="B21" s="5" t="n">
        <v>480</v>
      </c>
      <c r="C21" s="11" t="n">
        <v>1.16</v>
      </c>
      <c r="D21" s="4" t="n">
        <v>1</v>
      </c>
      <c r="E21" s="4" t="inlineStr">
        <is>
          <t>Tap Filter</t>
        </is>
      </c>
      <c r="F21" s="4" t="inlineStr">
        <is>
          <t>Stable</t>
        </is>
      </c>
      <c r="G21" s="4" t="inlineStr">
        <is>
          <t>#2</t>
        </is>
      </c>
      <c r="H21" s="4" t="inlineStr">
        <is>
          <t>Best Water Filter Australia 2026</t>
        </is>
      </c>
    </row>
    <row r="22">
      <c r="A22" s="6" t="inlineStr">
        <is>
          <t>countertop water filter</t>
        </is>
      </c>
      <c r="B22" s="7" t="n">
        <v>480</v>
      </c>
      <c r="C22" s="10" t="n">
        <v>0.92</v>
      </c>
      <c r="D22" s="6" t="n">
        <v>1</v>
      </c>
      <c r="E22" s="6" t="inlineStr">
        <is>
          <t>Tap Filter</t>
        </is>
      </c>
      <c r="F22" s="12" t="inlineStr">
        <is>
          <t>Rising</t>
        </is>
      </c>
      <c r="G22" s="6" t="inlineStr"/>
      <c r="H22" s="6" t="inlineStr">
        <is>
          <t>Countertop RO Collection</t>
        </is>
      </c>
    </row>
    <row r="23">
      <c r="A23" s="4" t="inlineStr">
        <is>
          <t>best under sink water filter australia</t>
        </is>
      </c>
      <c r="B23" s="5" t="n">
        <v>480</v>
      </c>
      <c r="C23" s="11" t="n">
        <v>0.63</v>
      </c>
      <c r="D23" s="4" t="n">
        <v>1</v>
      </c>
      <c r="E23" s="4" t="inlineStr">
        <is>
          <t>Tap Filter</t>
        </is>
      </c>
      <c r="F23" s="4" t="inlineStr">
        <is>
          <t>Stable</t>
        </is>
      </c>
      <c r="G23" s="4" t="inlineStr"/>
      <c r="H23" s="4" t="inlineStr">
        <is>
          <t>Best Water Filter Australia 2026</t>
        </is>
      </c>
    </row>
    <row r="24">
      <c r="A24" s="6" t="inlineStr">
        <is>
          <t>best water filter jug australia</t>
        </is>
      </c>
      <c r="B24" s="7" t="n">
        <v>390</v>
      </c>
      <c r="C24" s="10" t="n">
        <v>0.32</v>
      </c>
      <c r="D24" s="6" t="n">
        <v>1</v>
      </c>
      <c r="E24" s="6" t="inlineStr">
        <is>
          <t>Tap Filter</t>
        </is>
      </c>
      <c r="F24" s="13" t="inlineStr">
        <is>
          <t>Declining</t>
        </is>
      </c>
      <c r="G24" s="6" t="inlineStr"/>
      <c r="H24" s="6" t="inlineStr">
        <is>
          <t>Best Water Filter Australia 2026</t>
        </is>
      </c>
    </row>
    <row r="25">
      <c r="A25" s="4" t="inlineStr">
        <is>
          <t>doulton water filter</t>
        </is>
      </c>
      <c r="B25" s="5" t="n">
        <v>390</v>
      </c>
      <c r="C25" s="11" t="n">
        <v>0.4</v>
      </c>
      <c r="D25" s="4" t="n">
        <v>1</v>
      </c>
      <c r="E25" s="4" t="inlineStr">
        <is>
          <t>Tap Filter</t>
        </is>
      </c>
      <c r="F25" s="4" t="inlineStr">
        <is>
          <t>Stable</t>
        </is>
      </c>
      <c r="G25" s="4" t="inlineStr"/>
      <c r="H25" s="4" t="inlineStr"/>
    </row>
    <row r="26">
      <c r="A26" s="6" t="inlineStr">
        <is>
          <t>brita replacement filter</t>
        </is>
      </c>
      <c r="B26" s="7" t="n">
        <v>390</v>
      </c>
      <c r="C26" s="10" t="n">
        <v>0.28</v>
      </c>
      <c r="D26" s="6" t="n">
        <v>1</v>
      </c>
      <c r="E26" s="6" t="inlineStr">
        <is>
          <t>Competitor</t>
        </is>
      </c>
      <c r="F26" s="4" t="inlineStr">
        <is>
          <t>Stable</t>
        </is>
      </c>
      <c r="G26" s="6" t="inlineStr"/>
      <c r="H26" s="6" t="inlineStr">
        <is>
          <t>Tapp vs Brita</t>
        </is>
      </c>
    </row>
    <row r="27">
      <c r="A27" s="4" t="inlineStr">
        <is>
          <t>best benchtop water filter australia</t>
        </is>
      </c>
      <c r="B27" s="5" t="n">
        <v>320</v>
      </c>
      <c r="C27" s="11" t="n">
        <v>0.68</v>
      </c>
      <c r="D27" s="4" t="n">
        <v>1</v>
      </c>
      <c r="E27" s="4" t="inlineStr">
        <is>
          <t>Tap Filter</t>
        </is>
      </c>
      <c r="F27" s="4" t="inlineStr">
        <is>
          <t>Stable</t>
        </is>
      </c>
      <c r="G27" s="4" t="inlineStr"/>
      <c r="H27" s="4" t="inlineStr">
        <is>
          <t>Best Water Filter Australia 2026</t>
        </is>
      </c>
    </row>
    <row r="28">
      <c r="A28" s="6" t="inlineStr">
        <is>
          <t>best tap water filter australia</t>
        </is>
      </c>
      <c r="B28" s="7" t="n">
        <v>210</v>
      </c>
      <c r="C28" s="10" t="n">
        <v>1.13</v>
      </c>
      <c r="D28" s="6" t="n">
        <v>1</v>
      </c>
      <c r="E28" s="6" t="inlineStr">
        <is>
          <t>Tap Filter</t>
        </is>
      </c>
      <c r="F28" s="12" t="inlineStr">
        <is>
          <t>Rising</t>
        </is>
      </c>
      <c r="G28" s="6" t="inlineStr"/>
      <c r="H28" s="6" t="inlineStr">
        <is>
          <t>EcoPro Product Page</t>
        </is>
      </c>
    </row>
    <row r="29">
      <c r="A29" s="4" t="inlineStr">
        <is>
          <t>brita on tap</t>
        </is>
      </c>
      <c r="B29" s="5" t="n">
        <v>210</v>
      </c>
      <c r="C29" s="11" t="n">
        <v>0.24</v>
      </c>
      <c r="D29" s="4" t="n">
        <v>1</v>
      </c>
      <c r="E29" s="4" t="inlineStr">
        <is>
          <t>Competitor</t>
        </is>
      </c>
      <c r="F29" s="4" t="inlineStr">
        <is>
          <t>Stable</t>
        </is>
      </c>
      <c r="G29" s="4" t="inlineStr"/>
      <c r="H29" s="4" t="inlineStr">
        <is>
          <t>Tapp vs Brita</t>
        </is>
      </c>
    </row>
    <row r="30">
      <c r="A30" s="6" t="inlineStr">
        <is>
          <t>filtered water bottle australia</t>
        </is>
      </c>
      <c r="B30" s="7" t="n">
        <v>210</v>
      </c>
      <c r="C30" s="10" t="n">
        <v>0.55</v>
      </c>
      <c r="D30" s="6" t="n">
        <v>1</v>
      </c>
      <c r="E30" s="6" t="inlineStr">
        <is>
          <t>Tap Filter</t>
        </is>
      </c>
      <c r="F30" s="13" t="inlineStr">
        <is>
          <t>Declining</t>
        </is>
      </c>
      <c r="G30" s="6" t="inlineStr"/>
      <c r="H30" s="6" t="inlineStr"/>
    </row>
    <row r="31">
      <c r="A31" s="4" t="inlineStr">
        <is>
          <t>screw on tap filter</t>
        </is>
      </c>
      <c r="B31" s="5" t="n">
        <v>140</v>
      </c>
      <c r="C31" s="11" t="n">
        <v>0.88</v>
      </c>
      <c r="D31" s="4" t="n">
        <v>1</v>
      </c>
      <c r="E31" s="4" t="inlineStr">
        <is>
          <t>Tap Filter</t>
        </is>
      </c>
      <c r="F31" s="4" t="inlineStr">
        <is>
          <t>Stable</t>
        </is>
      </c>
      <c r="G31" s="4" t="inlineStr">
        <is>
          <t>#3</t>
        </is>
      </c>
      <c r="H31" s="4" t="inlineStr">
        <is>
          <t>EcoPro Product Page</t>
        </is>
      </c>
    </row>
    <row r="32">
      <c r="A32" s="6" t="inlineStr">
        <is>
          <t>benchtop water purifier</t>
        </is>
      </c>
      <c r="B32" s="7" t="n">
        <v>140</v>
      </c>
      <c r="C32" s="10" t="n">
        <v>0.74</v>
      </c>
      <c r="D32" s="6" t="n">
        <v>1</v>
      </c>
      <c r="E32" s="6" t="inlineStr">
        <is>
          <t>Tap Filter</t>
        </is>
      </c>
      <c r="F32" s="4" t="inlineStr">
        <is>
          <t>Stable</t>
        </is>
      </c>
      <c r="G32" s="6" t="inlineStr"/>
      <c r="H32" s="6" t="inlineStr">
        <is>
          <t>Best Water Filter Australia 2026</t>
        </is>
      </c>
    </row>
    <row r="33">
      <c r="A33" s="4" t="inlineStr">
        <is>
          <t>pur water filter</t>
        </is>
      </c>
      <c r="B33" s="5" t="n">
        <v>140</v>
      </c>
      <c r="C33" s="11" t="n">
        <v>0.62</v>
      </c>
      <c r="D33" s="4" t="n">
        <v>0.98</v>
      </c>
      <c r="E33" s="4" t="inlineStr">
        <is>
          <t>Competitor</t>
        </is>
      </c>
      <c r="F33" s="4" t="inlineStr">
        <is>
          <t>Stable</t>
        </is>
      </c>
      <c r="G33" s="4" t="inlineStr"/>
      <c r="H33" s="4" t="inlineStr"/>
    </row>
    <row r="34">
      <c r="A34" s="6" t="inlineStr">
        <is>
          <t>brita filter review</t>
        </is>
      </c>
      <c r="B34" s="7" t="n">
        <v>110</v>
      </c>
      <c r="C34" s="10" t="n">
        <v>0</v>
      </c>
      <c r="D34" s="6" t="n">
        <v>0.89</v>
      </c>
      <c r="E34" s="6" t="inlineStr">
        <is>
          <t>Competitor</t>
        </is>
      </c>
      <c r="F34" s="4" t="inlineStr">
        <is>
          <t>Stable</t>
        </is>
      </c>
      <c r="G34" s="6" t="inlineStr"/>
      <c r="H34" s="6" t="inlineStr">
        <is>
          <t>Tapp vs Brita</t>
        </is>
      </c>
    </row>
    <row r="35">
      <c r="A35" s="4" t="inlineStr">
        <is>
          <t>faucet mount water filter</t>
        </is>
      </c>
      <c r="B35" s="5" t="n">
        <v>90</v>
      </c>
      <c r="C35" s="11" t="n">
        <v>1.03</v>
      </c>
      <c r="D35" s="4" t="n">
        <v>1</v>
      </c>
      <c r="E35" s="4" t="inlineStr">
        <is>
          <t>Tap Filter</t>
        </is>
      </c>
      <c r="F35" s="12" t="inlineStr">
        <is>
          <t>Rising</t>
        </is>
      </c>
      <c r="G35" s="4" t="inlineStr"/>
      <c r="H35" s="4" t="inlineStr">
        <is>
          <t>EcoPro Product Page</t>
        </is>
      </c>
    </row>
    <row r="36">
      <c r="A36" s="6" t="inlineStr">
        <is>
          <t>plastic free water filter</t>
        </is>
      </c>
      <c r="B36" s="7" t="n">
        <v>90</v>
      </c>
      <c r="C36" s="10" t="n">
        <v>0.59</v>
      </c>
      <c r="D36" s="6" t="n">
        <v>1</v>
      </c>
      <c r="E36" s="6" t="inlineStr">
        <is>
          <t>Sustainability</t>
        </is>
      </c>
      <c r="F36" s="4" t="inlineStr">
        <is>
          <t>Stable</t>
        </is>
      </c>
      <c r="G36" s="6" t="inlineStr"/>
      <c r="H36" s="6" t="inlineStr">
        <is>
          <t>Bottled Water vs Tap</t>
        </is>
      </c>
    </row>
    <row r="37">
      <c r="A37" s="4" t="inlineStr">
        <is>
          <t>brita alternative</t>
        </is>
      </c>
      <c r="B37" s="5" t="n">
        <v>10</v>
      </c>
      <c r="C37" s="11" t="n">
        <v>0</v>
      </c>
      <c r="D37" s="4" t="n">
        <v>1</v>
      </c>
      <c r="E37" s="4" t="inlineStr">
        <is>
          <t>Competitor</t>
        </is>
      </c>
      <c r="F37" s="4" t="inlineStr">
        <is>
          <t>Stable</t>
        </is>
      </c>
      <c r="G37" s="4" t="inlineStr"/>
      <c r="H37" s="4" t="inlineStr">
        <is>
          <t>Tapp vs Brita</t>
        </is>
      </c>
    </row>
    <row r="38">
      <c r="A38" s="6" t="inlineStr">
        <is>
          <t>shower filter</t>
        </is>
      </c>
      <c r="B38" s="7" t="n">
        <v>12100</v>
      </c>
      <c r="C38" s="10" t="n">
        <v>1.13</v>
      </c>
      <c r="D38" s="6" t="n">
        <v>1</v>
      </c>
      <c r="E38" s="6" t="inlineStr">
        <is>
          <t>Shower Filter</t>
        </is>
      </c>
      <c r="F38" s="4" t="inlineStr">
        <is>
          <t>Stable</t>
        </is>
      </c>
      <c r="G38" s="6" t="inlineStr"/>
      <c r="H38" s="6" t="inlineStr">
        <is>
          <t>Shower Filter Collection</t>
        </is>
      </c>
    </row>
    <row r="39">
      <c r="A39" s="4" t="inlineStr">
        <is>
          <t>shower head filter</t>
        </is>
      </c>
      <c r="B39" s="5" t="n">
        <v>9900</v>
      </c>
      <c r="C39" s="11" t="n">
        <v>1.05</v>
      </c>
      <c r="D39" s="4" t="n">
        <v>1</v>
      </c>
      <c r="E39" s="4" t="inlineStr">
        <is>
          <t>Shower Filter</t>
        </is>
      </c>
      <c r="F39" s="13" t="inlineStr">
        <is>
          <t>Declining</t>
        </is>
      </c>
      <c r="G39" s="4" t="inlineStr"/>
      <c r="H39" s="4" t="inlineStr">
        <is>
          <t>Shower Filter Collection</t>
        </is>
      </c>
    </row>
    <row r="40">
      <c r="A40" s="6" t="inlineStr">
        <is>
          <t>filtered shower head</t>
        </is>
      </c>
      <c r="B40" s="7" t="n">
        <v>9900</v>
      </c>
      <c r="C40" s="10" t="n">
        <v>1.05</v>
      </c>
      <c r="D40" s="6" t="n">
        <v>1</v>
      </c>
      <c r="E40" s="6" t="inlineStr">
        <is>
          <t>Shower Filter</t>
        </is>
      </c>
      <c r="F40" s="13" t="inlineStr">
        <is>
          <t>Declining</t>
        </is>
      </c>
      <c r="G40" s="6" t="inlineStr"/>
      <c r="H40" s="6" t="inlineStr">
        <is>
          <t>Shower Filter Collection</t>
        </is>
      </c>
    </row>
    <row r="41">
      <c r="A41" s="4" t="inlineStr">
        <is>
          <t>shower head water filter</t>
        </is>
      </c>
      <c r="B41" s="5" t="n">
        <v>6600</v>
      </c>
      <c r="C41" s="11" t="n">
        <v>0.96</v>
      </c>
      <c r="D41" s="4" t="n">
        <v>1</v>
      </c>
      <c r="E41" s="4" t="inlineStr">
        <is>
          <t>Shower Filter</t>
        </is>
      </c>
      <c r="F41" s="4" t="inlineStr">
        <is>
          <t>Stable</t>
        </is>
      </c>
      <c r="G41" s="4" t="inlineStr"/>
      <c r="H41" s="4" t="inlineStr">
        <is>
          <t>Shower Filter Collection</t>
        </is>
      </c>
    </row>
    <row r="42">
      <c r="A42" s="6" t="inlineStr">
        <is>
          <t>shower water filter</t>
        </is>
      </c>
      <c r="B42" s="7" t="n">
        <v>2900</v>
      </c>
      <c r="C42" s="10" t="n">
        <v>1.13</v>
      </c>
      <c r="D42" s="6" t="n">
        <v>1</v>
      </c>
      <c r="E42" s="6" t="inlineStr">
        <is>
          <t>Shower Filter</t>
        </is>
      </c>
      <c r="F42" s="4" t="inlineStr">
        <is>
          <t>Stable</t>
        </is>
      </c>
      <c r="G42" s="6" t="inlineStr"/>
      <c r="H42" s="6" t="inlineStr">
        <is>
          <t>Shower Filter Collection</t>
        </is>
      </c>
    </row>
    <row r="43">
      <c r="A43" s="4" t="inlineStr">
        <is>
          <t>shower filter australia</t>
        </is>
      </c>
      <c r="B43" s="5" t="n">
        <v>1300</v>
      </c>
      <c r="C43" s="11" t="n">
        <v>1.13</v>
      </c>
      <c r="D43" s="4" t="n">
        <v>1</v>
      </c>
      <c r="E43" s="4" t="inlineStr">
        <is>
          <t>Shower Filter</t>
        </is>
      </c>
      <c r="F43" s="4" t="inlineStr">
        <is>
          <t>Stable</t>
        </is>
      </c>
      <c r="G43" s="4" t="inlineStr"/>
      <c r="H43" s="4" t="inlineStr">
        <is>
          <t>Shower Filter Collection</t>
        </is>
      </c>
    </row>
    <row r="44">
      <c r="A44" s="6" t="inlineStr">
        <is>
          <t>shower water filter australia</t>
        </is>
      </c>
      <c r="B44" s="7" t="n">
        <v>1300</v>
      </c>
      <c r="C44" s="10" t="n">
        <v>0.93</v>
      </c>
      <c r="D44" s="6" t="n">
        <v>1</v>
      </c>
      <c r="E44" s="6" t="inlineStr">
        <is>
          <t>Shower Filter</t>
        </is>
      </c>
      <c r="F44" s="12" t="inlineStr">
        <is>
          <t>Rising</t>
        </is>
      </c>
      <c r="G44" s="6" t="inlineStr"/>
      <c r="H44" s="6" t="inlineStr">
        <is>
          <t>Shower Filter Collection</t>
        </is>
      </c>
    </row>
    <row r="45">
      <c r="A45" s="4" t="inlineStr">
        <is>
          <t>shower filter for hard water</t>
        </is>
      </c>
      <c r="B45" s="5" t="n">
        <v>1000</v>
      </c>
      <c r="C45" s="11" t="n">
        <v>0.88</v>
      </c>
      <c r="D45" s="4" t="n">
        <v>1</v>
      </c>
      <c r="E45" s="4" t="inlineStr">
        <is>
          <t>Shower Filter</t>
        </is>
      </c>
      <c r="F45" s="12" t="inlineStr">
        <is>
          <t>Rising</t>
        </is>
      </c>
      <c r="G45" s="4" t="inlineStr"/>
      <c r="H45" s="4" t="inlineStr">
        <is>
          <t>Shower Filter for Hard Water</t>
        </is>
      </c>
    </row>
    <row r="46">
      <c r="A46" s="6" t="inlineStr">
        <is>
          <t>best shower filter australia</t>
        </is>
      </c>
      <c r="B46" s="7" t="n">
        <v>480</v>
      </c>
      <c r="C46" s="10" t="n">
        <v>0.9399999999999999</v>
      </c>
      <c r="D46" s="6" t="n">
        <v>1</v>
      </c>
      <c r="E46" s="6" t="inlineStr">
        <is>
          <t>Shower Filter</t>
        </is>
      </c>
      <c r="F46" s="12" t="inlineStr">
        <is>
          <t>Rising</t>
        </is>
      </c>
      <c r="G46" s="6" t="inlineStr"/>
      <c r="H46" s="6" t="inlineStr">
        <is>
          <t>Best Shower Filter Australia</t>
        </is>
      </c>
    </row>
    <row r="47">
      <c r="A47" s="4" t="inlineStr">
        <is>
          <t>shower head filter australia</t>
        </is>
      </c>
      <c r="B47" s="5" t="n">
        <v>480</v>
      </c>
      <c r="C47" s="11" t="n">
        <v>1.22</v>
      </c>
      <c r="D47" s="4" t="n">
        <v>1</v>
      </c>
      <c r="E47" s="4" t="inlineStr">
        <is>
          <t>Shower Filter</t>
        </is>
      </c>
      <c r="F47" s="13" t="inlineStr">
        <is>
          <t>Declining</t>
        </is>
      </c>
      <c r="G47" s="4" t="inlineStr"/>
      <c r="H47" s="4" t="inlineStr">
        <is>
          <t>Shower Filter Collection</t>
        </is>
      </c>
    </row>
    <row r="48">
      <c r="A48" s="6" t="inlineStr">
        <is>
          <t>best shower filter</t>
        </is>
      </c>
      <c r="B48" s="7" t="n">
        <v>390</v>
      </c>
      <c r="C48" s="10" t="n">
        <v>1.1</v>
      </c>
      <c r="D48" s="6" t="n">
        <v>0.91</v>
      </c>
      <c r="E48" s="6" t="inlineStr">
        <is>
          <t>Shower Filter</t>
        </is>
      </c>
      <c r="F48" s="4" t="inlineStr">
        <is>
          <t>Stable</t>
        </is>
      </c>
      <c r="G48" s="6" t="inlineStr"/>
      <c r="H48" s="6" t="inlineStr">
        <is>
          <t>Best Shower Filter Australia</t>
        </is>
      </c>
    </row>
    <row r="49">
      <c r="A49" s="4" t="inlineStr">
        <is>
          <t>shower filter for chlorine</t>
        </is>
      </c>
      <c r="B49" s="5" t="n">
        <v>390</v>
      </c>
      <c r="C49" s="11" t="n">
        <v>0.84</v>
      </c>
      <c r="D49" s="4" t="n">
        <v>1</v>
      </c>
      <c r="E49" s="4" t="inlineStr">
        <is>
          <t>Shower Filter</t>
        </is>
      </c>
      <c r="F49" s="4" t="inlineStr">
        <is>
          <t>Stable</t>
        </is>
      </c>
      <c r="G49" s="4" t="inlineStr"/>
      <c r="H49" s="4" t="inlineStr">
        <is>
          <t>Shower Filter for Chlorine</t>
        </is>
      </c>
    </row>
    <row r="50">
      <c r="A50" s="6" t="inlineStr">
        <is>
          <t>chlorine shower filter</t>
        </is>
      </c>
      <c r="B50" s="7" t="n">
        <v>390</v>
      </c>
      <c r="C50" s="10" t="n">
        <v>0.84</v>
      </c>
      <c r="D50" s="6" t="n">
        <v>1</v>
      </c>
      <c r="E50" s="6" t="inlineStr">
        <is>
          <t>Shower Filter</t>
        </is>
      </c>
      <c r="F50" s="4" t="inlineStr">
        <is>
          <t>Stable</t>
        </is>
      </c>
      <c r="G50" s="6" t="inlineStr"/>
      <c r="H50" s="6" t="inlineStr">
        <is>
          <t>Shower Filter for Chlorine</t>
        </is>
      </c>
    </row>
    <row r="51">
      <c r="A51" s="4" t="inlineStr">
        <is>
          <t>vitamin c shower filter</t>
        </is>
      </c>
      <c r="B51" s="5" t="n">
        <v>210</v>
      </c>
      <c r="C51" s="11" t="n">
        <v>1.04</v>
      </c>
      <c r="D51" s="4" t="n">
        <v>1</v>
      </c>
      <c r="E51" s="4" t="inlineStr">
        <is>
          <t>Shower Filter</t>
        </is>
      </c>
      <c r="F51" s="4" t="inlineStr">
        <is>
          <t>Stable</t>
        </is>
      </c>
      <c r="G51" s="4" t="inlineStr"/>
      <c r="H51" s="4" t="inlineStr">
        <is>
          <t>Vitamin C Shower Filter</t>
        </is>
      </c>
    </row>
    <row r="52">
      <c r="A52" s="6" t="inlineStr">
        <is>
          <t>inline shower filter</t>
        </is>
      </c>
      <c r="B52" s="7" t="n">
        <v>210</v>
      </c>
      <c r="C52" s="10" t="n">
        <v>1.2</v>
      </c>
      <c r="D52" s="6" t="n">
        <v>1</v>
      </c>
      <c r="E52" s="6" t="inlineStr">
        <is>
          <t>Shower Filter</t>
        </is>
      </c>
      <c r="F52" s="14" t="inlineStr">
        <is>
          <t>Volatile</t>
        </is>
      </c>
      <c r="G52" s="6" t="inlineStr"/>
      <c r="H52" s="6" t="inlineStr">
        <is>
          <t>Shower Filter Collection</t>
        </is>
      </c>
    </row>
    <row r="53">
      <c r="A53" s="4" t="inlineStr">
        <is>
          <t>shower filter for eczema</t>
        </is>
      </c>
      <c r="B53" s="5" t="n">
        <v>70</v>
      </c>
      <c r="C53" s="11" t="n">
        <v>0.97</v>
      </c>
      <c r="D53" s="4" t="n">
        <v>0.84</v>
      </c>
      <c r="E53" s="4" t="inlineStr">
        <is>
          <t>Health/Beauty</t>
        </is>
      </c>
      <c r="F53" s="15" t="inlineStr">
        <is>
          <t>Spiking</t>
        </is>
      </c>
      <c r="G53" s="4" t="inlineStr"/>
      <c r="H53" s="4" t="inlineStr">
        <is>
          <t>Shower Filter Eczema</t>
        </is>
      </c>
    </row>
    <row r="54">
      <c r="A54" s="6" t="inlineStr">
        <is>
          <t>kdf shower filter</t>
        </is>
      </c>
      <c r="B54" s="7" t="n">
        <v>70</v>
      </c>
      <c r="C54" s="10" t="n">
        <v>0.99</v>
      </c>
      <c r="D54" s="6" t="n">
        <v>1</v>
      </c>
      <c r="E54" s="6" t="inlineStr">
        <is>
          <t>Shower Filter</t>
        </is>
      </c>
      <c r="F54" s="14" t="inlineStr">
        <is>
          <t>Volatile</t>
        </is>
      </c>
      <c r="G54" s="6" t="inlineStr"/>
      <c r="H54" s="6" t="inlineStr">
        <is>
          <t>Best Shower Filter Australia</t>
        </is>
      </c>
    </row>
    <row r="55">
      <c r="A55" s="4" t="inlineStr">
        <is>
          <t>shower filter for hair loss</t>
        </is>
      </c>
      <c r="B55" s="5" t="n">
        <v>30</v>
      </c>
      <c r="C55" s="11" t="n">
        <v>1.07</v>
      </c>
      <c r="D55" s="4" t="n">
        <v>1</v>
      </c>
      <c r="E55" s="4" t="inlineStr">
        <is>
          <t>Health/Beauty</t>
        </is>
      </c>
      <c r="F55" s="15" t="inlineStr">
        <is>
          <t>Spiking</t>
        </is>
      </c>
      <c r="G55" s="4" t="inlineStr"/>
      <c r="H55" s="4" t="inlineStr">
        <is>
          <t>Shower Filter Hair Loss</t>
        </is>
      </c>
    </row>
    <row r="56">
      <c r="A56" s="6" t="inlineStr">
        <is>
          <t>shower filter benefits</t>
        </is>
      </c>
      <c r="B56" s="7" t="n">
        <v>30</v>
      </c>
      <c r="C56" s="10" t="n">
        <v>0.68</v>
      </c>
      <c r="D56" s="6" t="n">
        <v>1</v>
      </c>
      <c r="E56" s="6" t="inlineStr">
        <is>
          <t>Shower Filter</t>
        </is>
      </c>
      <c r="F56" s="4" t="inlineStr">
        <is>
          <t>Stable</t>
        </is>
      </c>
      <c r="G56" s="6" t="inlineStr"/>
      <c r="H56" s="6" t="inlineStr">
        <is>
          <t>Shower Filter Collection</t>
        </is>
      </c>
    </row>
    <row r="57">
      <c r="A57" s="4" t="inlineStr">
        <is>
          <t>shower filter for dry skin</t>
        </is>
      </c>
      <c r="B57" s="5" t="n">
        <v>10</v>
      </c>
      <c r="C57" s="11" t="n">
        <v>0</v>
      </c>
      <c r="D57" s="4" t="n">
        <v>1</v>
      </c>
      <c r="E57" s="4" t="inlineStr">
        <is>
          <t>Health/Beauty</t>
        </is>
      </c>
      <c r="F57" s="15" t="inlineStr">
        <is>
          <t>Spiking</t>
        </is>
      </c>
      <c r="G57" s="4" t="inlineStr"/>
      <c r="H57" s="4" t="inlineStr">
        <is>
          <t>Shower Filter Eczema</t>
        </is>
      </c>
    </row>
    <row r="58">
      <c r="A58" s="6" t="inlineStr">
        <is>
          <t>reverse osmosis water filter</t>
        </is>
      </c>
      <c r="B58" s="7" t="n">
        <v>8100</v>
      </c>
      <c r="C58" s="10" t="n">
        <v>0.8100000000000001</v>
      </c>
      <c r="D58" s="6" t="n">
        <v>1</v>
      </c>
      <c r="E58" s="6" t="inlineStr">
        <is>
          <t>Reverse Osmosis</t>
        </is>
      </c>
      <c r="F58" s="12" t="inlineStr">
        <is>
          <t>Rising</t>
        </is>
      </c>
      <c r="G58" s="6" t="inlineStr"/>
      <c r="H58" s="6" t="inlineStr">
        <is>
          <t>Best RO Water Filter Australia</t>
        </is>
      </c>
    </row>
    <row r="59">
      <c r="A59" s="4" t="inlineStr">
        <is>
          <t>reverse osmosis water</t>
        </is>
      </c>
      <c r="B59" s="5" t="n">
        <v>2400</v>
      </c>
      <c r="C59" s="11" t="n">
        <v>0.9</v>
      </c>
      <c r="D59" s="4" t="n">
        <v>1</v>
      </c>
      <c r="E59" s="4" t="inlineStr">
        <is>
          <t>Reverse Osmosis</t>
        </is>
      </c>
      <c r="F59" s="4" t="inlineStr">
        <is>
          <t>Stable</t>
        </is>
      </c>
      <c r="G59" s="4" t="inlineStr"/>
      <c r="H59" s="4" t="inlineStr">
        <is>
          <t>Best RO Water Filter Australia</t>
        </is>
      </c>
    </row>
    <row r="60">
      <c r="A60" s="6" t="inlineStr">
        <is>
          <t>reverse osmosis drinking water</t>
        </is>
      </c>
      <c r="B60" s="7" t="n">
        <v>2400</v>
      </c>
      <c r="C60" s="10" t="n">
        <v>0.9</v>
      </c>
      <c r="D60" s="6" t="n">
        <v>1</v>
      </c>
      <c r="E60" s="6" t="inlineStr">
        <is>
          <t>Reverse Osmosis</t>
        </is>
      </c>
      <c r="F60" s="4" t="inlineStr">
        <is>
          <t>Stable</t>
        </is>
      </c>
      <c r="G60" s="6" t="inlineStr"/>
      <c r="H60" s="6" t="inlineStr">
        <is>
          <t>Best RO Water Filter Australia</t>
        </is>
      </c>
    </row>
    <row r="61">
      <c r="A61" s="4" t="inlineStr">
        <is>
          <t>reverse osmosis water filter australia</t>
        </is>
      </c>
      <c r="B61" s="5" t="n">
        <v>1300</v>
      </c>
      <c r="C61" s="11" t="n">
        <v>0.92</v>
      </c>
      <c r="D61" s="4" t="n">
        <v>1</v>
      </c>
      <c r="E61" s="4" t="inlineStr">
        <is>
          <t>Reverse Osmosis</t>
        </is>
      </c>
      <c r="F61" s="4" t="inlineStr">
        <is>
          <t>Stable</t>
        </is>
      </c>
      <c r="G61" s="4" t="inlineStr"/>
      <c r="H61" s="4" t="inlineStr">
        <is>
          <t>Best RO Water Filter Australia</t>
        </is>
      </c>
    </row>
    <row r="62">
      <c r="A62" s="6" t="inlineStr">
        <is>
          <t>ro water filter</t>
        </is>
      </c>
      <c r="B62" s="7" t="n">
        <v>1000</v>
      </c>
      <c r="C62" s="10" t="n">
        <v>0.86</v>
      </c>
      <c r="D62" s="6" t="n">
        <v>1</v>
      </c>
      <c r="E62" s="6" t="inlineStr">
        <is>
          <t>Reverse Osmosis</t>
        </is>
      </c>
      <c r="F62" s="4" t="inlineStr">
        <is>
          <t>Stable</t>
        </is>
      </c>
      <c r="G62" s="6" t="inlineStr"/>
      <c r="H62" s="6" t="inlineStr">
        <is>
          <t>Best RO Water Filter Australia</t>
        </is>
      </c>
    </row>
    <row r="63">
      <c r="A63" s="4" t="inlineStr">
        <is>
          <t>reverse osmosis system</t>
        </is>
      </c>
      <c r="B63" s="5" t="n">
        <v>880</v>
      </c>
      <c r="C63" s="11" t="n">
        <v>1.04</v>
      </c>
      <c r="D63" s="4" t="n">
        <v>0.99</v>
      </c>
      <c r="E63" s="4" t="inlineStr">
        <is>
          <t>Reverse Osmosis</t>
        </is>
      </c>
      <c r="F63" s="4" t="inlineStr">
        <is>
          <t>Stable</t>
        </is>
      </c>
      <c r="G63" s="4" t="inlineStr"/>
      <c r="H63" s="4" t="inlineStr">
        <is>
          <t>Best RO Water Filter Australia</t>
        </is>
      </c>
    </row>
    <row r="64">
      <c r="A64" s="6" t="inlineStr">
        <is>
          <t>reverse osmosis water filter bunnings</t>
        </is>
      </c>
      <c r="B64" s="7" t="n">
        <v>590</v>
      </c>
      <c r="C64" s="10" t="n">
        <v>0.78</v>
      </c>
      <c r="D64" s="6" t="n">
        <v>1</v>
      </c>
      <c r="E64" s="6" t="inlineStr">
        <is>
          <t>Bunnings</t>
        </is>
      </c>
      <c r="F64" s="13" t="inlineStr">
        <is>
          <t>Declining</t>
        </is>
      </c>
      <c r="G64" s="6" t="inlineStr"/>
      <c r="H64" s="6" t="inlineStr">
        <is>
          <t>Water Filter Bunnings</t>
        </is>
      </c>
    </row>
    <row r="65">
      <c r="A65" s="4" t="inlineStr">
        <is>
          <t>reverse osmosis water filter system</t>
        </is>
      </c>
      <c r="B65" s="5" t="n">
        <v>480</v>
      </c>
      <c r="C65" s="11" t="n">
        <v>1.13</v>
      </c>
      <c r="D65" s="4" t="n">
        <v>1</v>
      </c>
      <c r="E65" s="4" t="inlineStr">
        <is>
          <t>Reverse Osmosis</t>
        </is>
      </c>
      <c r="F65" s="12" t="inlineStr">
        <is>
          <t>Rising</t>
        </is>
      </c>
      <c r="G65" s="4" t="inlineStr"/>
      <c r="H65" s="4" t="inlineStr">
        <is>
          <t>Countertop RO Collection</t>
        </is>
      </c>
    </row>
    <row r="66">
      <c r="A66" s="6" t="inlineStr">
        <is>
          <t>reverse osmosis water purifier</t>
        </is>
      </c>
      <c r="B66" s="7" t="n">
        <v>480</v>
      </c>
      <c r="C66" s="10" t="n">
        <v>0.85</v>
      </c>
      <c r="D66" s="6" t="n">
        <v>1</v>
      </c>
      <c r="E66" s="6" t="inlineStr">
        <is>
          <t>Reverse Osmosis</t>
        </is>
      </c>
      <c r="F66" s="15" t="inlineStr">
        <is>
          <t>Spiking</t>
        </is>
      </c>
      <c r="G66" s="6" t="inlineStr"/>
      <c r="H66" s="6" t="inlineStr">
        <is>
          <t>Countertop RO Collection</t>
        </is>
      </c>
    </row>
    <row r="67">
      <c r="A67" s="4" t="inlineStr">
        <is>
          <t>best reverse osmosis water filter australia</t>
        </is>
      </c>
      <c r="B67" s="5" t="n">
        <v>320</v>
      </c>
      <c r="C67" s="11" t="n">
        <v>0.88</v>
      </c>
      <c r="D67" s="4" t="n">
        <v>1</v>
      </c>
      <c r="E67" s="4" t="inlineStr">
        <is>
          <t>Reverse Osmosis</t>
        </is>
      </c>
      <c r="F67" s="13" t="inlineStr">
        <is>
          <t>Declining</t>
        </is>
      </c>
      <c r="G67" s="4" t="inlineStr"/>
      <c r="H67" s="4" t="inlineStr">
        <is>
          <t>Best RO Water Filter Australia</t>
        </is>
      </c>
    </row>
    <row r="68">
      <c r="A68" s="6" t="inlineStr">
        <is>
          <t>under sink reverse osmosis</t>
        </is>
      </c>
      <c r="B68" s="7" t="n">
        <v>260</v>
      </c>
      <c r="C68" s="10" t="n">
        <v>1.02</v>
      </c>
      <c r="D68" s="6" t="n">
        <v>1</v>
      </c>
      <c r="E68" s="6" t="inlineStr">
        <is>
          <t>Reverse Osmosis</t>
        </is>
      </c>
      <c r="F68" s="4" t="inlineStr">
        <is>
          <t>Stable</t>
        </is>
      </c>
      <c r="G68" s="6" t="inlineStr"/>
      <c r="H68" s="6" t="inlineStr">
        <is>
          <t>Countertop vs Under-Sink RO</t>
        </is>
      </c>
    </row>
    <row r="69">
      <c r="A69" s="4" t="inlineStr">
        <is>
          <t>countertop reverse osmosis</t>
        </is>
      </c>
      <c r="B69" s="5" t="n">
        <v>210</v>
      </c>
      <c r="C69" s="11" t="n">
        <v>0.82</v>
      </c>
      <c r="D69" s="4" t="n">
        <v>1</v>
      </c>
      <c r="E69" s="4" t="inlineStr">
        <is>
          <t>Reverse Osmosis</t>
        </is>
      </c>
      <c r="F69" s="13" t="inlineStr">
        <is>
          <t>Declining</t>
        </is>
      </c>
      <c r="G69" s="4" t="inlineStr"/>
      <c r="H69" s="4" t="inlineStr">
        <is>
          <t>Countertop RO Collection</t>
        </is>
      </c>
    </row>
    <row r="70">
      <c r="A70" s="6" t="inlineStr">
        <is>
          <t>countertop reverse osmosis water filter</t>
        </is>
      </c>
      <c r="B70" s="7" t="n">
        <v>210</v>
      </c>
      <c r="C70" s="10" t="n">
        <v>0.95</v>
      </c>
      <c r="D70" s="6" t="n">
        <v>1</v>
      </c>
      <c r="E70" s="6" t="inlineStr">
        <is>
          <t>Reverse Osmosis</t>
        </is>
      </c>
      <c r="F70" s="15" t="inlineStr">
        <is>
          <t>Spiking</t>
        </is>
      </c>
      <c r="G70" s="6" t="inlineStr"/>
      <c r="H70" s="6" t="inlineStr">
        <is>
          <t>Countertop RO Collection</t>
        </is>
      </c>
    </row>
    <row r="71">
      <c r="A71" s="4" t="inlineStr">
        <is>
          <t>reverse osmosis water filter perth</t>
        </is>
      </c>
      <c r="B71" s="5" t="n">
        <v>170</v>
      </c>
      <c r="C71" s="11" t="n">
        <v>1.39</v>
      </c>
      <c r="D71" s="4" t="n">
        <v>1</v>
      </c>
      <c r="E71" s="4" t="inlineStr">
        <is>
          <t>City - Perth</t>
        </is>
      </c>
      <c r="F71" s="4" t="inlineStr">
        <is>
          <t>Stable</t>
        </is>
      </c>
      <c r="G71" s="4" t="inlineStr"/>
      <c r="H71" s="4" t="inlineStr">
        <is>
          <t>Tap Water Perth</t>
        </is>
      </c>
    </row>
    <row r="72">
      <c r="A72" s="6" t="inlineStr">
        <is>
          <t>reverse osmosis system australia</t>
        </is>
      </c>
      <c r="B72" s="7" t="n">
        <v>140</v>
      </c>
      <c r="C72" s="10" t="n">
        <v>1.22</v>
      </c>
      <c r="D72" s="6" t="n">
        <v>1</v>
      </c>
      <c r="E72" s="6" t="inlineStr">
        <is>
          <t>Reverse Osmosis</t>
        </is>
      </c>
      <c r="F72" s="13" t="inlineStr">
        <is>
          <t>Declining</t>
        </is>
      </c>
      <c r="G72" s="6" t="inlineStr"/>
      <c r="H72" s="6" t="inlineStr">
        <is>
          <t>Best RO Water Filter Australia</t>
        </is>
      </c>
    </row>
    <row r="73">
      <c r="A73" s="4" t="inlineStr">
        <is>
          <t>ro system australia</t>
        </is>
      </c>
      <c r="B73" s="5" t="n">
        <v>140</v>
      </c>
      <c r="C73" s="11" t="n">
        <v>1.14</v>
      </c>
      <c r="D73" s="4" t="n">
        <v>0.77</v>
      </c>
      <c r="E73" s="4" t="inlineStr">
        <is>
          <t>Reverse Osmosis</t>
        </is>
      </c>
      <c r="F73" s="13" t="inlineStr">
        <is>
          <t>Declining</t>
        </is>
      </c>
      <c r="G73" s="4" t="inlineStr"/>
      <c r="H73" s="4" t="inlineStr">
        <is>
          <t>Best RO Water Filter Australia</t>
        </is>
      </c>
    </row>
    <row r="74">
      <c r="A74" s="6" t="inlineStr">
        <is>
          <t>reverse osmosis</t>
        </is>
      </c>
      <c r="B74" s="7" t="n">
        <v>110</v>
      </c>
      <c r="C74" s="10" t="n">
        <v>0.93</v>
      </c>
      <c r="D74" s="6" t="n">
        <v>1</v>
      </c>
      <c r="E74" s="6" t="inlineStr">
        <is>
          <t>Reverse Osmosis</t>
        </is>
      </c>
      <c r="F74" s="12" t="inlineStr">
        <is>
          <t>Rising</t>
        </is>
      </c>
      <c r="G74" s="6" t="inlineStr"/>
      <c r="H74" s="6" t="inlineStr">
        <is>
          <t>Best RO Water Filter Australia</t>
        </is>
      </c>
    </row>
    <row r="75">
      <c r="A75" s="4" t="inlineStr">
        <is>
          <t>reverse osmosis water filter adelaide</t>
        </is>
      </c>
      <c r="B75" s="5" t="n">
        <v>110</v>
      </c>
      <c r="C75" s="11" t="n">
        <v>0.9399999999999999</v>
      </c>
      <c r="D75" s="4" t="n">
        <v>1</v>
      </c>
      <c r="E75" s="4" t="inlineStr">
        <is>
          <t>Reverse Osmosis</t>
        </is>
      </c>
      <c r="F75" s="14" t="inlineStr">
        <is>
          <t>Volatile</t>
        </is>
      </c>
      <c r="G75" s="4" t="inlineStr"/>
      <c r="H75" s="4" t="inlineStr"/>
    </row>
    <row r="76">
      <c r="A76" s="6" t="inlineStr">
        <is>
          <t>reverse osmosis water filter replacement</t>
        </is>
      </c>
      <c r="B76" s="7" t="n">
        <v>90</v>
      </c>
      <c r="C76" s="10" t="n">
        <v>0.91</v>
      </c>
      <c r="D76" s="6" t="n">
        <v>1</v>
      </c>
      <c r="E76" s="6" t="inlineStr">
        <is>
          <t>Reverse Osmosis</t>
        </is>
      </c>
      <c r="F76" s="12" t="inlineStr">
        <is>
          <t>Rising</t>
        </is>
      </c>
      <c r="G76" s="6" t="inlineStr"/>
      <c r="H76" s="6" t="inlineStr"/>
    </row>
    <row r="77">
      <c r="A77" s="4" t="inlineStr">
        <is>
          <t>benchtop reverse osmosis water filter australia</t>
        </is>
      </c>
      <c r="B77" s="5" t="n">
        <v>90</v>
      </c>
      <c r="C77" s="11" t="n">
        <v>0.82</v>
      </c>
      <c r="D77" s="4" t="n">
        <v>1</v>
      </c>
      <c r="E77" s="4" t="inlineStr">
        <is>
          <t>Reverse Osmosis</t>
        </is>
      </c>
      <c r="F77" s="4" t="inlineStr">
        <is>
          <t>Stable</t>
        </is>
      </c>
      <c r="G77" s="4" t="inlineStr"/>
      <c r="H77" s="4" t="inlineStr">
        <is>
          <t>Countertop RO Collection</t>
        </is>
      </c>
    </row>
    <row r="78">
      <c r="A78" s="6" t="inlineStr">
        <is>
          <t>waterdrop reverse osmosis</t>
        </is>
      </c>
      <c r="B78" s="7" t="n">
        <v>90</v>
      </c>
      <c r="C78" s="10" t="n">
        <v>0.51</v>
      </c>
      <c r="D78" s="6" t="n">
        <v>1</v>
      </c>
      <c r="E78" s="6" t="inlineStr">
        <is>
          <t>Competitor</t>
        </is>
      </c>
      <c r="F78" s="12" t="inlineStr">
        <is>
          <t>Rising</t>
        </is>
      </c>
      <c r="G78" s="6" t="inlineStr"/>
      <c r="H78" s="6" t="inlineStr">
        <is>
          <t>Best RO Water Filter Australia</t>
        </is>
      </c>
    </row>
    <row r="79">
      <c r="A79" s="4" t="inlineStr">
        <is>
          <t>benchtop reverse osmosis water filter</t>
        </is>
      </c>
      <c r="B79" s="5" t="n">
        <v>70</v>
      </c>
      <c r="C79" s="11" t="n">
        <v>0.84</v>
      </c>
      <c r="D79" s="4" t="n">
        <v>1</v>
      </c>
      <c r="E79" s="4" t="inlineStr">
        <is>
          <t>Reverse Osmosis</t>
        </is>
      </c>
      <c r="F79" s="4" t="inlineStr">
        <is>
          <t>Stable</t>
        </is>
      </c>
      <c r="G79" s="4" t="inlineStr"/>
      <c r="H79" s="4" t="inlineStr">
        <is>
          <t>Countertop RO Collection</t>
        </is>
      </c>
    </row>
    <row r="80">
      <c r="A80" s="6" t="inlineStr">
        <is>
          <t>reverse osmosis remineralization</t>
        </is>
      </c>
      <c r="B80" s="7" t="n">
        <v>70</v>
      </c>
      <c r="C80" s="10" t="n">
        <v>1.09</v>
      </c>
      <c r="D80" s="6" t="n">
        <v>1</v>
      </c>
      <c r="E80" s="6" t="inlineStr">
        <is>
          <t>Reverse Osmosis</t>
        </is>
      </c>
      <c r="F80" s="4" t="inlineStr">
        <is>
          <t>Stable</t>
        </is>
      </c>
      <c r="G80" s="6" t="inlineStr"/>
      <c r="H80" s="6" t="inlineStr">
        <is>
          <t>Best RO Water Filter Australia</t>
        </is>
      </c>
    </row>
    <row r="81">
      <c r="A81" s="4" t="inlineStr">
        <is>
          <t>reverse osmosis water filter melbourne</t>
        </is>
      </c>
      <c r="B81" s="5" t="n">
        <v>70</v>
      </c>
      <c r="C81" s="11" t="n">
        <v>1.51</v>
      </c>
      <c r="D81" s="4" t="n">
        <v>1</v>
      </c>
      <c r="E81" s="4" t="inlineStr">
        <is>
          <t>City - Melbourne</t>
        </is>
      </c>
      <c r="F81" s="4" t="inlineStr">
        <is>
          <t>Stable</t>
        </is>
      </c>
      <c r="G81" s="4" t="inlineStr"/>
      <c r="H81" s="4" t="inlineStr">
        <is>
          <t>Tap Water Melbourne</t>
        </is>
      </c>
    </row>
    <row r="82">
      <c r="A82" s="6" t="inlineStr">
        <is>
          <t>tankless reverse osmosis</t>
        </is>
      </c>
      <c r="B82" s="7" t="n">
        <v>70</v>
      </c>
      <c r="C82" s="10" t="n">
        <v>1.36</v>
      </c>
      <c r="D82" s="6" t="n">
        <v>1</v>
      </c>
      <c r="E82" s="6" t="inlineStr">
        <is>
          <t>Reverse Osmosis</t>
        </is>
      </c>
      <c r="F82" s="14" t="inlineStr">
        <is>
          <t>Volatile</t>
        </is>
      </c>
      <c r="G82" s="6" t="inlineStr"/>
      <c r="H82" s="6" t="inlineStr">
        <is>
          <t>Countertop RO Collection</t>
        </is>
      </c>
    </row>
    <row r="83">
      <c r="A83" s="4" t="inlineStr">
        <is>
          <t>countertop water purifier</t>
        </is>
      </c>
      <c r="B83" s="5" t="n">
        <v>50</v>
      </c>
      <c r="C83" s="11" t="n">
        <v>0.68</v>
      </c>
      <c r="D83" s="4" t="n">
        <v>0.99</v>
      </c>
      <c r="E83" s="4" t="inlineStr">
        <is>
          <t>Reverse Osmosis</t>
        </is>
      </c>
      <c r="F83" s="15" t="inlineStr">
        <is>
          <t>Spiking</t>
        </is>
      </c>
      <c r="G83" s="4" t="inlineStr"/>
      <c r="H83" s="4" t="inlineStr">
        <is>
          <t>Countertop RO Collection</t>
        </is>
      </c>
    </row>
    <row r="84">
      <c r="A84" s="6" t="inlineStr">
        <is>
          <t>portable reverse osmosis</t>
        </is>
      </c>
      <c r="B84" s="7" t="n">
        <v>40</v>
      </c>
      <c r="C84" s="10" t="n">
        <v>0.73</v>
      </c>
      <c r="D84" s="6" t="n">
        <v>1</v>
      </c>
      <c r="E84" s="6" t="inlineStr">
        <is>
          <t>Reverse Osmosis</t>
        </is>
      </c>
      <c r="F84" s="4" t="inlineStr">
        <is>
          <t>Stable</t>
        </is>
      </c>
      <c r="G84" s="6" t="inlineStr"/>
      <c r="H84" s="6" t="inlineStr">
        <is>
          <t>Countertop RO Collection</t>
        </is>
      </c>
    </row>
    <row r="85">
      <c r="A85" s="4" t="inlineStr">
        <is>
          <t>best countertop reverse osmosis</t>
        </is>
      </c>
      <c r="B85" s="5" t="n">
        <v>30</v>
      </c>
      <c r="C85" s="11" t="n">
        <v>0.5</v>
      </c>
      <c r="D85" s="4" t="n">
        <v>1</v>
      </c>
      <c r="E85" s="4" t="inlineStr">
        <is>
          <t>Reverse Osmosis</t>
        </is>
      </c>
      <c r="F85" s="4" t="inlineStr">
        <is>
          <t>Stable</t>
        </is>
      </c>
      <c r="G85" s="4" t="inlineStr"/>
      <c r="H85" s="4" t="inlineStr">
        <is>
          <t>Countertop RO Collection</t>
        </is>
      </c>
    </row>
    <row r="86">
      <c r="A86" s="6" t="inlineStr">
        <is>
          <t>countertop ro water filter</t>
        </is>
      </c>
      <c r="B86" s="7" t="n">
        <v>30</v>
      </c>
      <c r="C86" s="10" t="n">
        <v>0.77</v>
      </c>
      <c r="D86" s="6" t="n">
        <v>1</v>
      </c>
      <c r="E86" s="6" t="inlineStr">
        <is>
          <t>Reverse Osmosis</t>
        </is>
      </c>
      <c r="F86" s="4" t="inlineStr">
        <is>
          <t>Stable</t>
        </is>
      </c>
      <c r="G86" s="6" t="inlineStr"/>
      <c r="H86" s="6" t="inlineStr">
        <is>
          <t>Countertop RO Collection</t>
        </is>
      </c>
    </row>
    <row r="87">
      <c r="A87" s="4" t="inlineStr">
        <is>
          <t>countertop ro system</t>
        </is>
      </c>
      <c r="B87" s="5" t="n">
        <v>20</v>
      </c>
      <c r="C87" s="11" t="n">
        <v>0.85</v>
      </c>
      <c r="D87" s="4" t="n">
        <v>1</v>
      </c>
      <c r="E87" s="4" t="inlineStr">
        <is>
          <t>Reverse Osmosis</t>
        </is>
      </c>
      <c r="F87" s="4" t="inlineStr">
        <is>
          <t>Stable</t>
        </is>
      </c>
      <c r="G87" s="4" t="inlineStr"/>
      <c r="H87" s="4" t="inlineStr">
        <is>
          <t>Countertop RO Collection</t>
        </is>
      </c>
    </row>
    <row r="88">
      <c r="A88" s="6" t="inlineStr">
        <is>
          <t>waterdrop k19</t>
        </is>
      </c>
      <c r="B88" s="7" t="n">
        <v>20</v>
      </c>
      <c r="C88" s="10" t="n">
        <v>0.55</v>
      </c>
      <c r="D88" s="6" t="n">
        <v>1</v>
      </c>
      <c r="E88" s="6" t="inlineStr">
        <is>
          <t>Competitor</t>
        </is>
      </c>
      <c r="F88" s="4" t="inlineStr">
        <is>
          <t>Stable</t>
        </is>
      </c>
      <c r="G88" s="6" t="inlineStr"/>
      <c r="H88" s="6" t="inlineStr">
        <is>
          <t>Best RO Water Filter Australia</t>
        </is>
      </c>
    </row>
    <row r="89">
      <c r="A89" s="4" t="inlineStr">
        <is>
          <t>is reverse osmosis water healthy</t>
        </is>
      </c>
      <c r="B89" s="5" t="n">
        <v>20</v>
      </c>
      <c r="C89" s="11" t="n">
        <v>0</v>
      </c>
      <c r="D89" s="4" t="n">
        <v>0.13</v>
      </c>
      <c r="E89" s="4" t="inlineStr">
        <is>
          <t>Reverse Osmosis</t>
        </is>
      </c>
      <c r="F89" s="4" t="inlineStr">
        <is>
          <t>Stable</t>
        </is>
      </c>
      <c r="G89" s="4" t="inlineStr"/>
      <c r="H89" s="4" t="inlineStr">
        <is>
          <t>RO vs Tap Filter</t>
        </is>
      </c>
    </row>
    <row r="90">
      <c r="A90" s="6" t="inlineStr">
        <is>
          <t>reverse osmosis vs water filter</t>
        </is>
      </c>
      <c r="B90" s="7" t="n">
        <v>20</v>
      </c>
      <c r="C90" s="10" t="n">
        <v>0.55</v>
      </c>
      <c r="D90" s="6" t="n">
        <v>0.93</v>
      </c>
      <c r="E90" s="6" t="inlineStr">
        <is>
          <t>Reverse Osmosis</t>
        </is>
      </c>
      <c r="F90" s="4" t="inlineStr">
        <is>
          <t>Stable</t>
        </is>
      </c>
      <c r="G90" s="6" t="inlineStr"/>
      <c r="H90" s="6" t="inlineStr">
        <is>
          <t>RO vs Tap Filter</t>
        </is>
      </c>
    </row>
    <row r="91">
      <c r="A91" s="4" t="inlineStr">
        <is>
          <t>reverse osmosis cost</t>
        </is>
      </c>
      <c r="B91" s="5" t="n">
        <v>10</v>
      </c>
      <c r="C91" s="11" t="n">
        <v>0.99</v>
      </c>
      <c r="D91" s="4" t="n">
        <v>0.85</v>
      </c>
      <c r="E91" s="4" t="inlineStr">
        <is>
          <t>Reverse Osmosis</t>
        </is>
      </c>
      <c r="F91" s="4" t="inlineStr">
        <is>
          <t>Stable</t>
        </is>
      </c>
      <c r="G91" s="4" t="inlineStr"/>
      <c r="H91" s="4" t="inlineStr">
        <is>
          <t>Countertop vs Under-Sink RO</t>
        </is>
      </c>
    </row>
    <row r="92">
      <c r="A92" s="6" t="inlineStr">
        <is>
          <t>waterdrop countertop</t>
        </is>
      </c>
      <c r="B92" s="7" t="n">
        <v>10</v>
      </c>
      <c r="C92" s="10" t="n">
        <v>0.85</v>
      </c>
      <c r="D92" s="6" t="n">
        <v>1</v>
      </c>
      <c r="E92" s="6" t="inlineStr">
        <is>
          <t>Competitor</t>
        </is>
      </c>
      <c r="F92" s="12" t="inlineStr">
        <is>
          <t>Rising</t>
        </is>
      </c>
      <c r="G92" s="6" t="inlineStr"/>
      <c r="H92" s="6" t="inlineStr">
        <is>
          <t>Best RO Water Filter Australia</t>
        </is>
      </c>
    </row>
    <row r="93">
      <c r="A93" s="4" t="inlineStr">
        <is>
          <t>fluoride in water</t>
        </is>
      </c>
      <c r="B93" s="5" t="n">
        <v>2400</v>
      </c>
      <c r="C93" s="11" t="n">
        <v>0.16</v>
      </c>
      <c r="D93" s="4" t="n">
        <v>0.06</v>
      </c>
      <c r="E93" s="4" t="inlineStr">
        <is>
          <t>Contaminant - Fluoride</t>
        </is>
      </c>
      <c r="F93" s="13" t="inlineStr">
        <is>
          <t>Declining</t>
        </is>
      </c>
      <c r="G93" s="4" t="inlineStr"/>
      <c r="H93" s="4" t="inlineStr">
        <is>
          <t>Fluoride in Water Australia</t>
        </is>
      </c>
    </row>
    <row r="94">
      <c r="A94" s="6" t="inlineStr">
        <is>
          <t>fluoride water filter</t>
        </is>
      </c>
      <c r="B94" s="7" t="n">
        <v>590</v>
      </c>
      <c r="C94" s="10" t="n">
        <v>0.99</v>
      </c>
      <c r="D94" s="6" t="n">
        <v>1</v>
      </c>
      <c r="E94" s="6" t="inlineStr">
        <is>
          <t>Contaminant - Fluoride</t>
        </is>
      </c>
      <c r="F94" s="13" t="inlineStr">
        <is>
          <t>Declining</t>
        </is>
      </c>
      <c r="G94" s="6" t="inlineStr"/>
      <c r="H94" s="6" t="inlineStr">
        <is>
          <t>Fluoride in Water Australia</t>
        </is>
      </c>
    </row>
    <row r="95">
      <c r="A95" s="4" t="inlineStr">
        <is>
          <t>fluoride in water australia</t>
        </is>
      </c>
      <c r="B95" s="5" t="n">
        <v>590</v>
      </c>
      <c r="C95" s="11" t="n">
        <v>0.38</v>
      </c>
      <c r="D95" s="4" t="n">
        <v>0.04</v>
      </c>
      <c r="E95" s="4" t="inlineStr">
        <is>
          <t>Contaminant - Fluoride</t>
        </is>
      </c>
      <c r="F95" s="13" t="inlineStr">
        <is>
          <t>Declining</t>
        </is>
      </c>
      <c r="G95" s="4" t="inlineStr"/>
      <c r="H95" s="4" t="inlineStr">
        <is>
          <t>Fluoride in Water Australia</t>
        </is>
      </c>
    </row>
    <row r="96">
      <c r="A96" s="6" t="inlineStr">
        <is>
          <t>water filter that removes fluoride</t>
        </is>
      </c>
      <c r="B96" s="7" t="n">
        <v>480</v>
      </c>
      <c r="C96" s="10" t="n">
        <v>0.92</v>
      </c>
      <c r="D96" s="6" t="n">
        <v>1</v>
      </c>
      <c r="E96" s="6" t="inlineStr">
        <is>
          <t>Contaminant - Fluoride</t>
        </is>
      </c>
      <c r="F96" s="13" t="inlineStr">
        <is>
          <t>Declining</t>
        </is>
      </c>
      <c r="G96" s="6" t="inlineStr"/>
      <c r="H96" s="6" t="inlineStr">
        <is>
          <t>Fluoride in Water Australia</t>
        </is>
      </c>
    </row>
    <row r="97">
      <c r="A97" s="4" t="inlineStr">
        <is>
          <t>fluoride filter</t>
        </is>
      </c>
      <c r="B97" s="5" t="n">
        <v>390</v>
      </c>
      <c r="C97" s="11" t="n">
        <v>0.92</v>
      </c>
      <c r="D97" s="4" t="n">
        <v>1</v>
      </c>
      <c r="E97" s="4" t="inlineStr">
        <is>
          <t>Contaminant - Fluoride</t>
        </is>
      </c>
      <c r="F97" s="13" t="inlineStr">
        <is>
          <t>Declining</t>
        </is>
      </c>
      <c r="G97" s="4" t="inlineStr"/>
      <c r="H97" s="4" t="inlineStr">
        <is>
          <t>Fluoride in Water Australia</t>
        </is>
      </c>
    </row>
    <row r="98">
      <c r="A98" s="6" t="inlineStr">
        <is>
          <t>remove fluoride from water</t>
        </is>
      </c>
      <c r="B98" s="7" t="n">
        <v>110</v>
      </c>
      <c r="C98" s="10" t="n">
        <v>0.86</v>
      </c>
      <c r="D98" s="6" t="n">
        <v>1</v>
      </c>
      <c r="E98" s="6" t="inlineStr">
        <is>
          <t>Contaminant - Fluoride</t>
        </is>
      </c>
      <c r="F98" s="13" t="inlineStr">
        <is>
          <t>Declining</t>
        </is>
      </c>
      <c r="G98" s="6" t="inlineStr"/>
      <c r="H98" s="6" t="inlineStr">
        <is>
          <t>Fluoride in Water Australia</t>
        </is>
      </c>
    </row>
    <row r="99">
      <c r="A99" s="4" t="inlineStr">
        <is>
          <t>limescale</t>
        </is>
      </c>
      <c r="B99" s="5" t="n">
        <v>2400</v>
      </c>
      <c r="C99" s="11" t="n">
        <v>0</v>
      </c>
      <c r="D99" s="4" t="n">
        <v>0.06</v>
      </c>
      <c r="E99" s="4" t="inlineStr">
        <is>
          <t>Contaminant - Hard Water</t>
        </is>
      </c>
      <c r="F99" s="13" t="inlineStr">
        <is>
          <t>Declining</t>
        </is>
      </c>
      <c r="G99" s="4" t="inlineStr"/>
      <c r="H99" s="4" t="inlineStr">
        <is>
          <t>Hard Water Australia</t>
        </is>
      </c>
    </row>
    <row r="100">
      <c r="A100" s="6" t="inlineStr">
        <is>
          <t>water softener</t>
        </is>
      </c>
      <c r="B100" s="7" t="n">
        <v>2400</v>
      </c>
      <c r="C100" s="10" t="n">
        <v>0.9</v>
      </c>
      <c r="D100" s="6" t="n">
        <v>1</v>
      </c>
      <c r="E100" s="6" t="inlineStr">
        <is>
          <t>Contaminant - Hard Water</t>
        </is>
      </c>
      <c r="F100" s="13" t="inlineStr">
        <is>
          <t>Declining</t>
        </is>
      </c>
      <c r="G100" s="6" t="inlineStr"/>
      <c r="H100" s="6" t="inlineStr">
        <is>
          <t>Hard Water Australia</t>
        </is>
      </c>
    </row>
    <row r="101">
      <c r="A101" s="4" t="inlineStr">
        <is>
          <t>hard water</t>
        </is>
      </c>
      <c r="B101" s="5" t="n">
        <v>1900</v>
      </c>
      <c r="C101" s="11" t="n">
        <v>0.05</v>
      </c>
      <c r="D101" s="4" t="n">
        <v>0.04</v>
      </c>
      <c r="E101" s="4" t="inlineStr">
        <is>
          <t>Contaminant - Hard Water</t>
        </is>
      </c>
      <c r="F101" s="4" t="inlineStr">
        <is>
          <t>Stable</t>
        </is>
      </c>
      <c r="G101" s="4" t="inlineStr"/>
      <c r="H101" s="4" t="inlineStr">
        <is>
          <t>Hard Water Australia</t>
        </is>
      </c>
    </row>
    <row r="102">
      <c r="A102" s="6" t="inlineStr">
        <is>
          <t>hard water filter</t>
        </is>
      </c>
      <c r="B102" s="7" t="n">
        <v>590</v>
      </c>
      <c r="C102" s="10" t="n">
        <v>0.98</v>
      </c>
      <c r="D102" s="6" t="n">
        <v>1</v>
      </c>
      <c r="E102" s="6" t="inlineStr">
        <is>
          <t>Contaminant - Hard Water</t>
        </is>
      </c>
      <c r="F102" s="4" t="inlineStr">
        <is>
          <t>Stable</t>
        </is>
      </c>
      <c r="G102" s="6" t="inlineStr"/>
      <c r="H102" s="6" t="inlineStr">
        <is>
          <t>Hard Water Australia</t>
        </is>
      </c>
    </row>
    <row r="103">
      <c r="A103" s="4" t="inlineStr">
        <is>
          <t>hard water australia</t>
        </is>
      </c>
      <c r="B103" s="5" t="n">
        <v>210</v>
      </c>
      <c r="C103" s="11" t="n">
        <v>0</v>
      </c>
      <c r="D103" s="4" t="n">
        <v>0.07000000000000001</v>
      </c>
      <c r="E103" s="4" t="inlineStr">
        <is>
          <t>Contaminant - Hard Water</t>
        </is>
      </c>
      <c r="F103" s="13" t="inlineStr">
        <is>
          <t>Declining</t>
        </is>
      </c>
      <c r="G103" s="4" t="inlineStr"/>
      <c r="H103" s="4" t="inlineStr">
        <is>
          <t>Hard Water Australia</t>
        </is>
      </c>
    </row>
    <row r="104">
      <c r="A104" s="6" t="inlineStr">
        <is>
          <t>hard water perth</t>
        </is>
      </c>
      <c r="B104" s="7" t="n">
        <v>210</v>
      </c>
      <c r="C104" s="10" t="n">
        <v>1.28</v>
      </c>
      <c r="D104" s="6" t="n">
        <v>0.02</v>
      </c>
      <c r="E104" s="6" t="inlineStr">
        <is>
          <t>Contaminant - Hard Water</t>
        </is>
      </c>
      <c r="F104" s="4" t="inlineStr">
        <is>
          <t>Stable</t>
        </is>
      </c>
      <c r="G104" s="6" t="inlineStr"/>
      <c r="H104" s="6" t="inlineStr">
        <is>
          <t>Tap Water Perth</t>
        </is>
      </c>
    </row>
    <row r="105">
      <c r="A105" s="4" t="inlineStr">
        <is>
          <t>hard water melbourne</t>
        </is>
      </c>
      <c r="B105" s="5" t="n">
        <v>210</v>
      </c>
      <c r="C105" s="11" t="n">
        <v>0.77</v>
      </c>
      <c r="D105" s="4" t="n">
        <v>0.02</v>
      </c>
      <c r="E105" s="4" t="inlineStr">
        <is>
          <t>Contaminant - Hard Water</t>
        </is>
      </c>
      <c r="F105" s="4" t="inlineStr">
        <is>
          <t>Stable</t>
        </is>
      </c>
      <c r="G105" s="4" t="inlineStr"/>
      <c r="H105" s="4" t="inlineStr">
        <is>
          <t>Tap Water Melbourne</t>
        </is>
      </c>
    </row>
    <row r="106">
      <c r="A106" s="6" t="inlineStr">
        <is>
          <t>water hardness australia</t>
        </is>
      </c>
      <c r="B106" s="7" t="n">
        <v>210</v>
      </c>
      <c r="C106" s="10" t="n">
        <v>0</v>
      </c>
      <c r="D106" s="6" t="n">
        <v>0.07000000000000001</v>
      </c>
      <c r="E106" s="6" t="inlineStr">
        <is>
          <t>Contaminant - Hard Water</t>
        </is>
      </c>
      <c r="F106" s="4" t="inlineStr">
        <is>
          <t>Stable</t>
        </is>
      </c>
      <c r="G106" s="6" t="inlineStr"/>
      <c r="H106" s="6" t="inlineStr">
        <is>
          <t>Hard Water Australia</t>
        </is>
      </c>
    </row>
    <row r="107">
      <c r="A107" s="4" t="inlineStr">
        <is>
          <t>hard water sydney</t>
        </is>
      </c>
      <c r="B107" s="5" t="n">
        <v>140</v>
      </c>
      <c r="C107" s="11" t="n">
        <v>0</v>
      </c>
      <c r="D107" s="4" t="n">
        <v>0.01</v>
      </c>
      <c r="E107" s="4" t="inlineStr">
        <is>
          <t>Contaminant - Hard Water</t>
        </is>
      </c>
      <c r="F107" s="4" t="inlineStr">
        <is>
          <t>Stable</t>
        </is>
      </c>
      <c r="G107" s="4" t="inlineStr"/>
      <c r="H107" s="4" t="inlineStr">
        <is>
          <t>Tap Water Sydney</t>
        </is>
      </c>
    </row>
    <row r="108">
      <c r="A108" s="6" t="inlineStr">
        <is>
          <t>hard water hair</t>
        </is>
      </c>
      <c r="B108" s="7" t="n">
        <v>110</v>
      </c>
      <c r="C108" s="10" t="n">
        <v>0</v>
      </c>
      <c r="D108" s="6" t="n">
        <v>0.55</v>
      </c>
      <c r="E108" s="6" t="inlineStr">
        <is>
          <t>Contaminant - Hard Water</t>
        </is>
      </c>
      <c r="F108" s="4" t="inlineStr">
        <is>
          <t>Stable</t>
        </is>
      </c>
      <c r="G108" s="6" t="inlineStr"/>
      <c r="H108" s="6" t="inlineStr">
        <is>
          <t>Hard Water Australia</t>
        </is>
      </c>
    </row>
    <row r="109">
      <c r="A109" s="4" t="inlineStr">
        <is>
          <t>water softener australia</t>
        </is>
      </c>
      <c r="B109" s="5" t="n">
        <v>110</v>
      </c>
      <c r="C109" s="11" t="n">
        <v>0.8</v>
      </c>
      <c r="D109" s="4" t="n">
        <v>1</v>
      </c>
      <c r="E109" s="4" t="inlineStr">
        <is>
          <t>Contaminant - Hard Water</t>
        </is>
      </c>
      <c r="F109" s="14" t="inlineStr">
        <is>
          <t>Volatile</t>
        </is>
      </c>
      <c r="G109" s="4" t="inlineStr"/>
      <c r="H109" s="4" t="inlineStr">
        <is>
          <t>Hard Water Australia</t>
        </is>
      </c>
    </row>
    <row r="110">
      <c r="A110" s="6" t="inlineStr">
        <is>
          <t>limescale filter</t>
        </is>
      </c>
      <c r="B110" s="7" t="n">
        <v>70</v>
      </c>
      <c r="C110" s="10" t="n">
        <v>0.63</v>
      </c>
      <c r="D110" s="6" t="n">
        <v>0.98</v>
      </c>
      <c r="E110" s="6" t="inlineStr">
        <is>
          <t>Contaminant - Hard Water</t>
        </is>
      </c>
      <c r="F110" s="4" t="inlineStr">
        <is>
          <t>Stable</t>
        </is>
      </c>
      <c r="G110" s="6" t="inlineStr"/>
      <c r="H110" s="6" t="inlineStr">
        <is>
          <t>Hard Water Australia</t>
        </is>
      </c>
    </row>
    <row r="111">
      <c r="A111" s="4" t="inlineStr">
        <is>
          <t>hard water hair loss</t>
        </is>
      </c>
      <c r="B111" s="5" t="n">
        <v>50</v>
      </c>
      <c r="C111" s="11" t="n">
        <v>0</v>
      </c>
      <c r="D111" s="4" t="n">
        <v>0.17</v>
      </c>
      <c r="E111" s="4" t="inlineStr">
        <is>
          <t>Contaminant - Hard Water</t>
        </is>
      </c>
      <c r="F111" s="13" t="inlineStr">
        <is>
          <t>Declining</t>
        </is>
      </c>
      <c r="G111" s="4" t="inlineStr"/>
      <c r="H111" s="4" t="inlineStr">
        <is>
          <t>Shower Filter Hair Loss</t>
        </is>
      </c>
    </row>
    <row r="112">
      <c r="A112" s="6" t="inlineStr">
        <is>
          <t>hard water eczema</t>
        </is>
      </c>
      <c r="B112" s="7" t="n">
        <v>30</v>
      </c>
      <c r="C112" s="10" t="n">
        <v>0</v>
      </c>
      <c r="D112" s="6" t="n">
        <v>0.02</v>
      </c>
      <c r="E112" s="6" t="inlineStr">
        <is>
          <t>Contaminant - Hard Water</t>
        </is>
      </c>
      <c r="F112" s="4" t="inlineStr">
        <is>
          <t>Stable</t>
        </is>
      </c>
      <c r="G112" s="6" t="inlineStr"/>
      <c r="H112" s="6" t="inlineStr">
        <is>
          <t>Shower Filter Eczema</t>
        </is>
      </c>
    </row>
    <row r="113">
      <c r="A113" s="4" t="inlineStr">
        <is>
          <t>hard water shower</t>
        </is>
      </c>
      <c r="B113" s="5" t="n">
        <v>40</v>
      </c>
      <c r="C113" s="11" t="n">
        <v>1.23</v>
      </c>
      <c r="D113" s="4" t="n">
        <v>0.92</v>
      </c>
      <c r="E113" s="4" t="inlineStr">
        <is>
          <t>Contaminant - Hard Water</t>
        </is>
      </c>
      <c r="F113" s="4" t="inlineStr">
        <is>
          <t>Stable</t>
        </is>
      </c>
      <c r="G113" s="4" t="inlineStr"/>
      <c r="H113" s="4" t="inlineStr">
        <is>
          <t>Shower Filter Hard Water</t>
        </is>
      </c>
    </row>
    <row r="114">
      <c r="A114" s="6" t="inlineStr">
        <is>
          <t>hard water skin</t>
        </is>
      </c>
      <c r="B114" s="7" t="n">
        <v>20</v>
      </c>
      <c r="C114" s="10" t="n">
        <v>0</v>
      </c>
      <c r="D114" s="6" t="n">
        <v>0.02</v>
      </c>
      <c r="E114" s="6" t="inlineStr">
        <is>
          <t>Contaminant - Hard Water</t>
        </is>
      </c>
      <c r="F114" s="4" t="inlineStr">
        <is>
          <t>Stable</t>
        </is>
      </c>
      <c r="G114" s="6" t="inlineStr"/>
      <c r="H114" s="6" t="inlineStr">
        <is>
          <t>Hard Water Australia</t>
        </is>
      </c>
    </row>
    <row r="115">
      <c r="A115" s="4" t="inlineStr">
        <is>
          <t>hard water dry skin</t>
        </is>
      </c>
      <c r="B115" s="5" t="n">
        <v>10</v>
      </c>
      <c r="C115" s="11" t="n">
        <v>0</v>
      </c>
      <c r="D115" s="4" t="n">
        <v>0</v>
      </c>
      <c r="E115" s="4" t="inlineStr">
        <is>
          <t>Contaminant - Hard Water</t>
        </is>
      </c>
      <c r="F115" s="4" t="inlineStr">
        <is>
          <t>Stable</t>
        </is>
      </c>
      <c r="G115" s="4" t="inlineStr"/>
      <c r="H115" s="4" t="inlineStr">
        <is>
          <t>Shower Filter Eczema</t>
        </is>
      </c>
    </row>
    <row r="116">
      <c r="A116" s="6" t="inlineStr">
        <is>
          <t>calcium in water</t>
        </is>
      </c>
      <c r="B116" s="7" t="n">
        <v>90</v>
      </c>
      <c r="C116" s="10" t="n">
        <v>0</v>
      </c>
      <c r="D116" s="6" t="n">
        <v>0.11</v>
      </c>
      <c r="E116" s="6" t="inlineStr">
        <is>
          <t>Contaminant - Hard Water</t>
        </is>
      </c>
      <c r="F116" s="4" t="inlineStr">
        <is>
          <t>Stable</t>
        </is>
      </c>
      <c r="G116" s="6" t="inlineStr"/>
      <c r="H116" s="6" t="inlineStr">
        <is>
          <t>Hard Water Australia</t>
        </is>
      </c>
    </row>
    <row r="117">
      <c r="A117" s="4" t="inlineStr">
        <is>
          <t>pfas water filter</t>
        </is>
      </c>
      <c r="B117" s="5" t="n">
        <v>480</v>
      </c>
      <c r="C117" s="11" t="n">
        <v>0.89</v>
      </c>
      <c r="D117" s="4" t="n">
        <v>1</v>
      </c>
      <c r="E117" s="4" t="inlineStr">
        <is>
          <t>Contaminant - PFAS</t>
        </is>
      </c>
      <c r="F117" s="14" t="inlineStr">
        <is>
          <t>Volatile</t>
        </is>
      </c>
      <c r="G117" s="4" t="inlineStr">
        <is>
          <t>#5</t>
        </is>
      </c>
      <c r="H117" s="4" t="inlineStr">
        <is>
          <t>PFAS Water Australia</t>
        </is>
      </c>
    </row>
    <row r="118">
      <c r="A118" s="6" t="inlineStr">
        <is>
          <t>pfas in water</t>
        </is>
      </c>
      <c r="B118" s="7" t="n">
        <v>390</v>
      </c>
      <c r="C118" s="10" t="n">
        <v>0.14</v>
      </c>
      <c r="D118" s="6" t="n">
        <v>0.18</v>
      </c>
      <c r="E118" s="6" t="inlineStr">
        <is>
          <t>Contaminant - PFAS</t>
        </is>
      </c>
      <c r="F118" s="14" t="inlineStr">
        <is>
          <t>Volatile</t>
        </is>
      </c>
      <c r="G118" s="6" t="inlineStr"/>
      <c r="H118" s="6" t="inlineStr">
        <is>
          <t>PFAS Water Australia</t>
        </is>
      </c>
    </row>
    <row r="119">
      <c r="A119" s="4" t="inlineStr">
        <is>
          <t>pfas australia</t>
        </is>
      </c>
      <c r="B119" s="5" t="n">
        <v>320</v>
      </c>
      <c r="C119" s="11" t="n">
        <v>0</v>
      </c>
      <c r="D119" s="4" t="n">
        <v>0.02</v>
      </c>
      <c r="E119" s="4" t="inlineStr">
        <is>
          <t>Contaminant - PFAS</t>
        </is>
      </c>
      <c r="F119" s="14" t="inlineStr">
        <is>
          <t>Volatile</t>
        </is>
      </c>
      <c r="G119" s="4" t="inlineStr"/>
      <c r="H119" s="4" t="inlineStr">
        <is>
          <t>PFAS Water Australia</t>
        </is>
      </c>
    </row>
    <row r="120">
      <c r="A120" s="6" t="inlineStr">
        <is>
          <t>pfas filter</t>
        </is>
      </c>
      <c r="B120" s="7" t="n">
        <v>260</v>
      </c>
      <c r="C120" s="10" t="n">
        <v>1.43</v>
      </c>
      <c r="D120" s="6" t="n">
        <v>1</v>
      </c>
      <c r="E120" s="6" t="inlineStr">
        <is>
          <t>Contaminant - PFAS</t>
        </is>
      </c>
      <c r="F120" s="14" t="inlineStr">
        <is>
          <t>Volatile</t>
        </is>
      </c>
      <c r="G120" s="6" t="inlineStr"/>
      <c r="H120" s="6" t="inlineStr">
        <is>
          <t>PFAS Water Australia</t>
        </is>
      </c>
    </row>
    <row r="121">
      <c r="A121" s="4" t="inlineStr">
        <is>
          <t>forever chemicals australia</t>
        </is>
      </c>
      <c r="B121" s="5" t="n">
        <v>90</v>
      </c>
      <c r="C121" s="11" t="n">
        <v>0.06</v>
      </c>
      <c r="D121" s="4" t="n">
        <v>0.11</v>
      </c>
      <c r="E121" s="4" t="inlineStr">
        <is>
          <t>Contaminant - PFAS</t>
        </is>
      </c>
      <c r="F121" s="13" t="inlineStr">
        <is>
          <t>Declining</t>
        </is>
      </c>
      <c r="G121" s="4" t="inlineStr"/>
      <c r="H121" s="4" t="inlineStr">
        <is>
          <t>PFAS Water Australia</t>
        </is>
      </c>
    </row>
    <row r="122">
      <c r="A122" s="6" t="inlineStr">
        <is>
          <t>pfas in drinking water</t>
        </is>
      </c>
      <c r="B122" s="7" t="n">
        <v>70</v>
      </c>
      <c r="C122" s="10" t="n">
        <v>1.38</v>
      </c>
      <c r="D122" s="6" t="n">
        <v>0.17</v>
      </c>
      <c r="E122" s="6" t="inlineStr">
        <is>
          <t>Contaminant - PFAS</t>
        </is>
      </c>
      <c r="F122" s="13" t="inlineStr">
        <is>
          <t>Declining</t>
        </is>
      </c>
      <c r="G122" s="6" t="inlineStr"/>
      <c r="H122" s="6" t="inlineStr">
        <is>
          <t>PFAS Water Australia</t>
        </is>
      </c>
    </row>
    <row r="123">
      <c r="A123" s="4" t="inlineStr">
        <is>
          <t>remove pfas from water</t>
        </is>
      </c>
      <c r="B123" s="5" t="n">
        <v>30</v>
      </c>
      <c r="C123" s="11" t="n">
        <v>0.93</v>
      </c>
      <c r="D123" s="4" t="n">
        <v>1</v>
      </c>
      <c r="E123" s="4" t="inlineStr">
        <is>
          <t>Contaminant - PFAS</t>
        </is>
      </c>
      <c r="F123" s="13" t="inlineStr">
        <is>
          <t>Declining</t>
        </is>
      </c>
      <c r="G123" s="4" t="inlineStr"/>
      <c r="H123" s="4" t="inlineStr">
        <is>
          <t>PFAS Water Australia</t>
        </is>
      </c>
    </row>
    <row r="124">
      <c r="A124" s="6" t="inlineStr">
        <is>
          <t>pfas water treatment</t>
        </is>
      </c>
      <c r="B124" s="7" t="n">
        <v>20</v>
      </c>
      <c r="C124" s="10" t="n">
        <v>0.9399999999999999</v>
      </c>
      <c r="D124" s="6" t="n">
        <v>0.57</v>
      </c>
      <c r="E124" s="6" t="inlineStr">
        <is>
          <t>Contaminant - PFAS</t>
        </is>
      </c>
      <c r="F124" s="13" t="inlineStr">
        <is>
          <t>Declining</t>
        </is>
      </c>
      <c r="G124" s="6" t="inlineStr"/>
      <c r="H124" s="6" t="inlineStr">
        <is>
          <t>PFAS Water Australia</t>
        </is>
      </c>
    </row>
    <row r="125">
      <c r="A125" s="4" t="inlineStr">
        <is>
          <t>forever chemicals water</t>
        </is>
      </c>
      <c r="B125" s="5" t="n">
        <v>30</v>
      </c>
      <c r="C125" s="11" t="n">
        <v>0</v>
      </c>
      <c r="D125" s="4" t="n">
        <v>0.02</v>
      </c>
      <c r="E125" s="4" t="inlineStr">
        <is>
          <t>Contaminant - PFAS</t>
        </is>
      </c>
      <c r="F125" s="4" t="inlineStr">
        <is>
          <t>Stable</t>
        </is>
      </c>
      <c r="G125" s="4" t="inlineStr"/>
      <c r="H125" s="4" t="inlineStr">
        <is>
          <t>PFAS Water Australia</t>
        </is>
      </c>
    </row>
    <row r="126">
      <c r="A126" s="6" t="inlineStr">
        <is>
          <t>microplastics water filter</t>
        </is>
      </c>
      <c r="B126" s="7" t="n">
        <v>320</v>
      </c>
      <c r="C126" s="10" t="n">
        <v>0.87</v>
      </c>
      <c r="D126" s="6" t="n">
        <v>1</v>
      </c>
      <c r="E126" s="6" t="inlineStr">
        <is>
          <t>Contaminant - Microplastics</t>
        </is>
      </c>
      <c r="F126" s="12" t="inlineStr">
        <is>
          <t>Rising</t>
        </is>
      </c>
      <c r="G126" s="6" t="inlineStr"/>
      <c r="H126" s="6" t="inlineStr">
        <is>
          <t>Microplastics Water Filter</t>
        </is>
      </c>
    </row>
    <row r="127">
      <c r="A127" s="4" t="inlineStr">
        <is>
          <t>microplastics filter</t>
        </is>
      </c>
      <c r="B127" s="5" t="n">
        <v>140</v>
      </c>
      <c r="C127" s="11" t="n">
        <v>0.68</v>
      </c>
      <c r="D127" s="4" t="n">
        <v>1</v>
      </c>
      <c r="E127" s="4" t="inlineStr">
        <is>
          <t>Contaminant - Microplastics</t>
        </is>
      </c>
      <c r="F127" s="14" t="inlineStr">
        <is>
          <t>Volatile</t>
        </is>
      </c>
      <c r="G127" s="4" t="inlineStr"/>
      <c r="H127" s="4" t="inlineStr">
        <is>
          <t>Microplastics Water Filter</t>
        </is>
      </c>
    </row>
    <row r="128">
      <c r="A128" s="6" t="inlineStr">
        <is>
          <t>microplastics in water</t>
        </is>
      </c>
      <c r="B128" s="7" t="n">
        <v>110</v>
      </c>
      <c r="C128" s="10" t="n">
        <v>0</v>
      </c>
      <c r="D128" s="6" t="n">
        <v>0</v>
      </c>
      <c r="E128" s="6" t="inlineStr">
        <is>
          <t>Contaminant - Microplastics</t>
        </is>
      </c>
      <c r="F128" s="4" t="inlineStr">
        <is>
          <t>Stable</t>
        </is>
      </c>
      <c r="G128" s="6" t="inlineStr"/>
      <c r="H128" s="6" t="inlineStr">
        <is>
          <t>Microplastics Water Filter</t>
        </is>
      </c>
    </row>
    <row r="129">
      <c r="A129" s="4" t="inlineStr">
        <is>
          <t>microplastics in bottled water</t>
        </is>
      </c>
      <c r="B129" s="5" t="n">
        <v>90</v>
      </c>
      <c r="C129" s="11" t="n">
        <v>0.02</v>
      </c>
      <c r="D129" s="4" t="n">
        <v>0.05</v>
      </c>
      <c r="E129" s="4" t="inlineStr">
        <is>
          <t>Contaminant - Microplastics</t>
        </is>
      </c>
      <c r="F129" s="4" t="inlineStr">
        <is>
          <t>Stable</t>
        </is>
      </c>
      <c r="G129" s="4" t="inlineStr"/>
      <c r="H129" s="4" t="inlineStr">
        <is>
          <t>Bottled Water vs Tap</t>
        </is>
      </c>
    </row>
    <row r="130">
      <c r="A130" s="6" t="inlineStr">
        <is>
          <t>microplastics in drinking water</t>
        </is>
      </c>
      <c r="B130" s="7" t="n">
        <v>30</v>
      </c>
      <c r="C130" s="10" t="n">
        <v>0</v>
      </c>
      <c r="D130" s="6" t="n">
        <v>0.01</v>
      </c>
      <c r="E130" s="6" t="inlineStr">
        <is>
          <t>Contaminant - Microplastics</t>
        </is>
      </c>
      <c r="F130" s="4" t="inlineStr">
        <is>
          <t>Stable</t>
        </is>
      </c>
      <c r="G130" s="6" t="inlineStr"/>
      <c r="H130" s="6" t="inlineStr">
        <is>
          <t>Microplastics Water Filter</t>
        </is>
      </c>
    </row>
    <row r="131">
      <c r="A131" s="4" t="inlineStr">
        <is>
          <t>microplastics in tap water</t>
        </is>
      </c>
      <c r="B131" s="5" t="n">
        <v>20</v>
      </c>
      <c r="C131" s="11" t="n">
        <v>0</v>
      </c>
      <c r="D131" s="4" t="n">
        <v>0.1</v>
      </c>
      <c r="E131" s="4" t="inlineStr">
        <is>
          <t>Contaminant - Microplastics</t>
        </is>
      </c>
      <c r="F131" s="4" t="inlineStr">
        <is>
          <t>Stable</t>
        </is>
      </c>
      <c r="G131" s="4" t="inlineStr"/>
      <c r="H131" s="4" t="inlineStr">
        <is>
          <t>Microplastics Water Filter</t>
        </is>
      </c>
    </row>
    <row r="132">
      <c r="A132" s="6" t="inlineStr">
        <is>
          <t>remove microplastics from water</t>
        </is>
      </c>
      <c r="B132" s="7" t="n">
        <v>20</v>
      </c>
      <c r="C132" s="10" t="n">
        <v>0.09</v>
      </c>
      <c r="D132" s="6" t="n">
        <v>0.58</v>
      </c>
      <c r="E132" s="6" t="inlineStr">
        <is>
          <t>Contaminant - Microplastics</t>
        </is>
      </c>
      <c r="F132" s="14" t="inlineStr">
        <is>
          <t>Volatile</t>
        </is>
      </c>
      <c r="G132" s="6" t="inlineStr"/>
      <c r="H132" s="6" t="inlineStr">
        <is>
          <t>Microplastics Water Filter</t>
        </is>
      </c>
    </row>
    <row r="133">
      <c r="A133" s="4" t="inlineStr">
        <is>
          <t>chlorine in water</t>
        </is>
      </c>
      <c r="B133" s="5" t="n">
        <v>260</v>
      </c>
      <c r="C133" s="11" t="n">
        <v>0</v>
      </c>
      <c r="D133" s="4" t="n">
        <v>0.11</v>
      </c>
      <c r="E133" s="4" t="inlineStr">
        <is>
          <t>Contaminant - Chlorine</t>
        </is>
      </c>
      <c r="F133" s="4" t="inlineStr">
        <is>
          <t>Stable</t>
        </is>
      </c>
      <c r="G133" s="4" t="inlineStr"/>
      <c r="H133" s="4" t="inlineStr">
        <is>
          <t>Chlorine in Tap Water</t>
        </is>
      </c>
    </row>
    <row r="134">
      <c r="A134" s="6" t="inlineStr">
        <is>
          <t>chlorine in tap water</t>
        </is>
      </c>
      <c r="B134" s="7" t="n">
        <v>90</v>
      </c>
      <c r="C134" s="10" t="n">
        <v>0</v>
      </c>
      <c r="D134" s="6" t="n">
        <v>0.04</v>
      </c>
      <c r="E134" s="6" t="inlineStr">
        <is>
          <t>Contaminant - Chlorine</t>
        </is>
      </c>
      <c r="F134" s="13" t="inlineStr">
        <is>
          <t>Declining</t>
        </is>
      </c>
      <c r="G134" s="6" t="inlineStr"/>
      <c r="H134" s="6" t="inlineStr">
        <is>
          <t>Chlorine in Tap Water</t>
        </is>
      </c>
    </row>
    <row r="135">
      <c r="A135" s="4" t="inlineStr">
        <is>
          <t>chlorine water filter</t>
        </is>
      </c>
      <c r="B135" s="5" t="n">
        <v>90</v>
      </c>
      <c r="C135" s="11" t="n">
        <v>0.96</v>
      </c>
      <c r="D135" s="4" t="n">
        <v>1</v>
      </c>
      <c r="E135" s="4" t="inlineStr">
        <is>
          <t>Contaminant - Chlorine</t>
        </is>
      </c>
      <c r="F135" s="13" t="inlineStr">
        <is>
          <t>Declining</t>
        </is>
      </c>
      <c r="G135" s="4" t="inlineStr"/>
      <c r="H135" s="4" t="inlineStr">
        <is>
          <t>Chlorine in Tap Water</t>
        </is>
      </c>
    </row>
    <row r="136">
      <c r="A136" s="6" t="inlineStr">
        <is>
          <t>chlorine hair damage</t>
        </is>
      </c>
      <c r="B136" s="7" t="n">
        <v>90</v>
      </c>
      <c r="C136" s="10" t="n">
        <v>0</v>
      </c>
      <c r="D136" s="6" t="n">
        <v>0.37</v>
      </c>
      <c r="E136" s="6" t="inlineStr">
        <is>
          <t>Health/Beauty</t>
        </is>
      </c>
      <c r="F136" s="4" t="inlineStr">
        <is>
          <t>Stable</t>
        </is>
      </c>
      <c r="G136" s="6" t="inlineStr"/>
      <c r="H136" s="6" t="inlineStr">
        <is>
          <t>Shower Filter Chlorine</t>
        </is>
      </c>
    </row>
    <row r="137">
      <c r="A137" s="4" t="inlineStr">
        <is>
          <t>chlorine skin</t>
        </is>
      </c>
      <c r="B137" s="5" t="n">
        <v>50</v>
      </c>
      <c r="C137" s="11" t="n">
        <v>0</v>
      </c>
      <c r="D137" s="4" t="n">
        <v>0.04</v>
      </c>
      <c r="E137" s="4" t="inlineStr">
        <is>
          <t>Health/Beauty</t>
        </is>
      </c>
      <c r="F137" s="12" t="inlineStr">
        <is>
          <t>Rising</t>
        </is>
      </c>
      <c r="G137" s="4" t="inlineStr"/>
      <c r="H137" s="4" t="inlineStr">
        <is>
          <t>Shower Filter Chlorine</t>
        </is>
      </c>
    </row>
    <row r="138">
      <c r="A138" s="6" t="inlineStr">
        <is>
          <t>remove chlorine from water</t>
        </is>
      </c>
      <c r="B138" s="7" t="n">
        <v>40</v>
      </c>
      <c r="C138" s="10" t="n">
        <v>0.6899999999999999</v>
      </c>
      <c r="D138" s="6" t="n">
        <v>1</v>
      </c>
      <c r="E138" s="6" t="inlineStr">
        <is>
          <t>Contaminant - Chlorine</t>
        </is>
      </c>
      <c r="F138" s="4" t="inlineStr">
        <is>
          <t>Stable</t>
        </is>
      </c>
      <c r="G138" s="6" t="inlineStr"/>
      <c r="H138" s="6" t="inlineStr">
        <is>
          <t>Chlorine in Tap Water</t>
        </is>
      </c>
    </row>
    <row r="139">
      <c r="A139" s="4" t="inlineStr">
        <is>
          <t>lead in water</t>
        </is>
      </c>
      <c r="B139" s="5" t="n">
        <v>90</v>
      </c>
      <c r="C139" s="11" t="n">
        <v>0</v>
      </c>
      <c r="D139" s="4" t="n">
        <v>0</v>
      </c>
      <c r="E139" s="4" t="inlineStr">
        <is>
          <t>Contaminant - Lead</t>
        </is>
      </c>
      <c r="F139" s="4" t="inlineStr">
        <is>
          <t>Stable</t>
        </is>
      </c>
      <c r="G139" s="4" t="inlineStr"/>
      <c r="H139" s="4" t="inlineStr">
        <is>
          <t>Lead in Water Australia</t>
        </is>
      </c>
    </row>
    <row r="140">
      <c r="A140" s="6" t="inlineStr">
        <is>
          <t>lead water filter</t>
        </is>
      </c>
      <c r="B140" s="7" t="n">
        <v>70</v>
      </c>
      <c r="C140" s="10" t="n">
        <v>1.17</v>
      </c>
      <c r="D140" s="6" t="n">
        <v>0.89</v>
      </c>
      <c r="E140" s="6" t="inlineStr">
        <is>
          <t>Contaminant - Lead</t>
        </is>
      </c>
      <c r="F140" s="12" t="inlineStr">
        <is>
          <t>Rising</t>
        </is>
      </c>
      <c r="G140" s="6" t="inlineStr"/>
      <c r="H140" s="6" t="inlineStr">
        <is>
          <t>Lead in Water Australia</t>
        </is>
      </c>
    </row>
    <row r="141">
      <c r="A141" s="4" t="inlineStr">
        <is>
          <t>heavy metals in water</t>
        </is>
      </c>
      <c r="B141" s="5" t="n">
        <v>50</v>
      </c>
      <c r="C141" s="11" t="n">
        <v>0</v>
      </c>
      <c r="D141" s="4" t="n">
        <v>0</v>
      </c>
      <c r="E141" s="4" t="inlineStr">
        <is>
          <t>Contaminant - Other</t>
        </is>
      </c>
      <c r="F141" s="4" t="inlineStr">
        <is>
          <t>Stable</t>
        </is>
      </c>
      <c r="G141" s="4" t="inlineStr"/>
      <c r="H141" s="4" t="inlineStr"/>
    </row>
    <row r="142">
      <c r="A142" s="6" t="inlineStr">
        <is>
          <t>heavy metals water filter</t>
        </is>
      </c>
      <c r="B142" s="7" t="n">
        <v>50</v>
      </c>
      <c r="C142" s="10" t="n">
        <v>1.06</v>
      </c>
      <c r="D142" s="6" t="n">
        <v>1</v>
      </c>
      <c r="E142" s="6" t="inlineStr">
        <is>
          <t>Contaminant - Other</t>
        </is>
      </c>
      <c r="F142" s="13" t="inlineStr">
        <is>
          <t>Declining</t>
        </is>
      </c>
      <c r="G142" s="6" t="inlineStr"/>
      <c r="H142" s="6" t="inlineStr"/>
    </row>
    <row r="143">
      <c r="A143" s="4" t="inlineStr">
        <is>
          <t>mercury in water</t>
        </is>
      </c>
      <c r="B143" s="5" t="n">
        <v>70</v>
      </c>
      <c r="C143" s="11" t="n">
        <v>0</v>
      </c>
      <c r="D143" s="4" t="n">
        <v>0</v>
      </c>
      <c r="E143" s="4" t="inlineStr">
        <is>
          <t>Contaminant - Other</t>
        </is>
      </c>
      <c r="F143" s="4" t="inlineStr">
        <is>
          <t>Stable</t>
        </is>
      </c>
      <c r="G143" s="4" t="inlineStr"/>
      <c r="H143" s="4" t="inlineStr"/>
    </row>
    <row r="144">
      <c r="A144" s="6" t="inlineStr">
        <is>
          <t>nitrates in water</t>
        </is>
      </c>
      <c r="B144" s="7" t="n">
        <v>70</v>
      </c>
      <c r="C144" s="10" t="n">
        <v>0</v>
      </c>
      <c r="D144" s="6" t="n">
        <v>0.01</v>
      </c>
      <c r="E144" s="6" t="inlineStr">
        <is>
          <t>Contaminant - Other</t>
        </is>
      </c>
      <c r="F144" s="4" t="inlineStr">
        <is>
          <t>Stable</t>
        </is>
      </c>
      <c r="G144" s="6" t="inlineStr"/>
      <c r="H144" s="6" t="inlineStr"/>
    </row>
    <row r="145">
      <c r="A145" s="4" t="inlineStr">
        <is>
          <t>e coli water</t>
        </is>
      </c>
      <c r="B145" s="5" t="n">
        <v>170</v>
      </c>
      <c r="C145" s="11" t="n">
        <v>0</v>
      </c>
      <c r="D145" s="4" t="n">
        <v>0.01</v>
      </c>
      <c r="E145" s="4" t="inlineStr">
        <is>
          <t>Contaminant - Other</t>
        </is>
      </c>
      <c r="F145" s="14" t="inlineStr">
        <is>
          <t>Volatile</t>
        </is>
      </c>
      <c r="G145" s="4" t="inlineStr"/>
      <c r="H145" s="4" t="inlineStr"/>
    </row>
    <row r="146">
      <c r="A146" s="6" t="inlineStr">
        <is>
          <t>bacteria in water</t>
        </is>
      </c>
      <c r="B146" s="7" t="n">
        <v>110</v>
      </c>
      <c r="C146" s="10" t="n">
        <v>0</v>
      </c>
      <c r="D146" s="6" t="n">
        <v>0.01</v>
      </c>
      <c r="E146" s="6" t="inlineStr">
        <is>
          <t>Contaminant - Other</t>
        </is>
      </c>
      <c r="F146" s="4" t="inlineStr">
        <is>
          <t>Stable</t>
        </is>
      </c>
      <c r="G146" s="6" t="inlineStr"/>
      <c r="H146" s="6" t="inlineStr"/>
    </row>
    <row r="147">
      <c r="A147" s="4" t="inlineStr">
        <is>
          <t>tap water melbourne</t>
        </is>
      </c>
      <c r="B147" s="5" t="n">
        <v>590</v>
      </c>
      <c r="C147" s="11" t="n">
        <v>0</v>
      </c>
      <c r="D147" s="4" t="n">
        <v>0.01</v>
      </c>
      <c r="E147" s="4" t="inlineStr">
        <is>
          <t>City - Melbourne</t>
        </is>
      </c>
      <c r="F147" s="14" t="inlineStr">
        <is>
          <t>Volatile</t>
        </is>
      </c>
      <c r="G147" s="4" t="inlineStr"/>
      <c r="H147" s="4" t="inlineStr">
        <is>
          <t>Tap Water Melbourne</t>
        </is>
      </c>
    </row>
    <row r="148">
      <c r="A148" s="6" t="inlineStr">
        <is>
          <t>melbourne water quality</t>
        </is>
      </c>
      <c r="B148" s="7" t="n">
        <v>480</v>
      </c>
      <c r="C148" s="10" t="n">
        <v>0</v>
      </c>
      <c r="D148" s="6" t="n">
        <v>0</v>
      </c>
      <c r="E148" s="6" t="inlineStr">
        <is>
          <t>City - Melbourne</t>
        </is>
      </c>
      <c r="F148" s="14" t="inlineStr">
        <is>
          <t>Volatile</t>
        </is>
      </c>
      <c r="G148" s="6" t="inlineStr"/>
      <c r="H148" s="6" t="inlineStr">
        <is>
          <t>Tap Water Melbourne</t>
        </is>
      </c>
    </row>
    <row r="149">
      <c r="A149" s="4" t="inlineStr">
        <is>
          <t>can you drink tap water in melbourne</t>
        </is>
      </c>
      <c r="B149" s="5" t="n">
        <v>320</v>
      </c>
      <c r="C149" s="11" t="n">
        <v>0</v>
      </c>
      <c r="D149" s="4" t="n">
        <v>0</v>
      </c>
      <c r="E149" s="4" t="inlineStr">
        <is>
          <t>City - Melbourne</t>
        </is>
      </c>
      <c r="F149" s="4" t="inlineStr">
        <is>
          <t>Stable</t>
        </is>
      </c>
      <c r="G149" s="4" t="inlineStr"/>
      <c r="H149" s="4" t="inlineStr">
        <is>
          <t>Tap Water Melbourne</t>
        </is>
      </c>
    </row>
    <row r="150">
      <c r="A150" s="6" t="inlineStr">
        <is>
          <t>is melbourne water safe to drink</t>
        </is>
      </c>
      <c r="B150" s="7" t="n">
        <v>140</v>
      </c>
      <c r="C150" s="10" t="n">
        <v>0</v>
      </c>
      <c r="D150" s="6" t="n">
        <v>0.01</v>
      </c>
      <c r="E150" s="6" t="inlineStr">
        <is>
          <t>City - Melbourne</t>
        </is>
      </c>
      <c r="F150" s="4" t="inlineStr">
        <is>
          <t>Stable</t>
        </is>
      </c>
      <c r="G150" s="6" t="inlineStr"/>
      <c r="H150" s="6" t="inlineStr">
        <is>
          <t>Tap Water Melbourne</t>
        </is>
      </c>
    </row>
    <row r="151">
      <c r="A151" s="4" t="inlineStr">
        <is>
          <t>can you drink tap water in australia</t>
        </is>
      </c>
      <c r="B151" s="5" t="n">
        <v>590</v>
      </c>
      <c r="C151" s="11" t="n">
        <v>0</v>
      </c>
      <c r="D151" s="4" t="n">
        <v>0</v>
      </c>
      <c r="E151" s="4" t="inlineStr">
        <is>
          <t>City - National</t>
        </is>
      </c>
      <c r="F151" s="4" t="inlineStr">
        <is>
          <t>Stable</t>
        </is>
      </c>
      <c r="G151" s="4" t="inlineStr">
        <is>
          <t>#4</t>
        </is>
      </c>
      <c r="H151" s="4" t="inlineStr">
        <is>
          <t>Can You Drink Tap Water Australia</t>
        </is>
      </c>
    </row>
    <row r="152">
      <c r="A152" s="6" t="inlineStr">
        <is>
          <t>can you drink tap water in sydney</t>
        </is>
      </c>
      <c r="B152" s="7" t="n">
        <v>480</v>
      </c>
      <c r="C152" s="10" t="n">
        <v>0</v>
      </c>
      <c r="D152" s="6" t="n">
        <v>0</v>
      </c>
      <c r="E152" s="6" t="inlineStr">
        <is>
          <t>City - Sydney</t>
        </is>
      </c>
      <c r="F152" s="4" t="inlineStr">
        <is>
          <t>Stable</t>
        </is>
      </c>
      <c r="G152" s="6" t="inlineStr"/>
      <c r="H152" s="6" t="inlineStr">
        <is>
          <t>Tap Water Sydney</t>
        </is>
      </c>
    </row>
    <row r="153">
      <c r="A153" s="4" t="inlineStr">
        <is>
          <t>tap water sydney</t>
        </is>
      </c>
      <c r="B153" s="5" t="n">
        <v>390</v>
      </c>
      <c r="C153" s="11" t="n">
        <v>0</v>
      </c>
      <c r="D153" s="4" t="n">
        <v>0.01</v>
      </c>
      <c r="E153" s="4" t="inlineStr">
        <is>
          <t>City - Sydney</t>
        </is>
      </c>
      <c r="F153" s="4" t="inlineStr">
        <is>
          <t>Stable</t>
        </is>
      </c>
      <c r="G153" s="4" t="inlineStr"/>
      <c r="H153" s="4" t="inlineStr">
        <is>
          <t>Tap Water Sydney</t>
        </is>
      </c>
    </row>
    <row r="154">
      <c r="A154" s="6" t="inlineStr">
        <is>
          <t>sydney water quality</t>
        </is>
      </c>
      <c r="B154" s="7" t="n">
        <v>390</v>
      </c>
      <c r="C154" s="10" t="n">
        <v>0</v>
      </c>
      <c r="D154" s="6" t="n">
        <v>0</v>
      </c>
      <c r="E154" s="6" t="inlineStr">
        <is>
          <t>City - Sydney</t>
        </is>
      </c>
      <c r="F154" s="14" t="inlineStr">
        <is>
          <t>Volatile</t>
        </is>
      </c>
      <c r="G154" s="6" t="inlineStr"/>
      <c r="H154" s="6" t="inlineStr">
        <is>
          <t>Tap Water Sydney</t>
        </is>
      </c>
    </row>
    <row r="155">
      <c r="A155" s="4" t="inlineStr">
        <is>
          <t>is sydney water safe to drink</t>
        </is>
      </c>
      <c r="B155" s="5" t="n">
        <v>260</v>
      </c>
      <c r="C155" s="11" t="n">
        <v>0</v>
      </c>
      <c r="D155" s="4" t="n">
        <v>0</v>
      </c>
      <c r="E155" s="4" t="inlineStr">
        <is>
          <t>City - Sydney</t>
        </is>
      </c>
      <c r="F155" s="4" t="inlineStr">
        <is>
          <t>Stable</t>
        </is>
      </c>
      <c r="G155" s="4" t="inlineStr"/>
      <c r="H155" s="4" t="inlineStr">
        <is>
          <t>Tap Water Sydney</t>
        </is>
      </c>
    </row>
    <row r="156">
      <c r="A156" s="6" t="inlineStr">
        <is>
          <t>tap water brisbane</t>
        </is>
      </c>
      <c r="B156" s="7" t="n">
        <v>260</v>
      </c>
      <c r="C156" s="10" t="n">
        <v>0</v>
      </c>
      <c r="D156" s="6" t="n">
        <v>0.01</v>
      </c>
      <c r="E156" s="6" t="inlineStr">
        <is>
          <t>City - Brisbane</t>
        </is>
      </c>
      <c r="F156" s="14" t="inlineStr">
        <is>
          <t>Volatile</t>
        </is>
      </c>
      <c r="G156" s="6" t="inlineStr"/>
      <c r="H156" s="6" t="inlineStr">
        <is>
          <t>Tap Water Brisbane</t>
        </is>
      </c>
    </row>
    <row r="157">
      <c r="A157" s="4" t="inlineStr">
        <is>
          <t>brisbane water quality</t>
        </is>
      </c>
      <c r="B157" s="5" t="n">
        <v>260</v>
      </c>
      <c r="C157" s="11" t="n">
        <v>0</v>
      </c>
      <c r="D157" s="4" t="n">
        <v>0.02</v>
      </c>
      <c r="E157" s="4" t="inlineStr">
        <is>
          <t>City - Brisbane</t>
        </is>
      </c>
      <c r="F157" s="14" t="inlineStr">
        <is>
          <t>Volatile</t>
        </is>
      </c>
      <c r="G157" s="4" t="inlineStr"/>
      <c r="H157" s="4" t="inlineStr">
        <is>
          <t>Tap Water Brisbane</t>
        </is>
      </c>
    </row>
    <row r="158">
      <c r="A158" s="6" t="inlineStr">
        <is>
          <t>can you drink tap water in brisbane</t>
        </is>
      </c>
      <c r="B158" s="7" t="n">
        <v>170</v>
      </c>
      <c r="C158" s="10" t="n">
        <v>0</v>
      </c>
      <c r="D158" s="6" t="n">
        <v>0</v>
      </c>
      <c r="E158" s="6" t="inlineStr">
        <is>
          <t>City - Brisbane</t>
        </is>
      </c>
      <c r="F158" s="4" t="inlineStr">
        <is>
          <t>Stable</t>
        </is>
      </c>
      <c r="G158" s="6" t="inlineStr"/>
      <c r="H158" s="6" t="inlineStr">
        <is>
          <t>Tap Water Brisbane</t>
        </is>
      </c>
    </row>
    <row r="159">
      <c r="A159" s="4" t="inlineStr">
        <is>
          <t>is tap water safe to drink</t>
        </is>
      </c>
      <c r="B159" s="5" t="n">
        <v>170</v>
      </c>
      <c r="C159" s="11" t="n">
        <v>0.13</v>
      </c>
      <c r="D159" s="4" t="n">
        <v>0.02</v>
      </c>
      <c r="E159" s="4" t="inlineStr">
        <is>
          <t>City - National</t>
        </is>
      </c>
      <c r="F159" s="4" t="inlineStr">
        <is>
          <t>Stable</t>
        </is>
      </c>
      <c r="G159" s="4" t="inlineStr"/>
      <c r="H159" s="4" t="inlineStr">
        <is>
          <t>Can You Drink Tap Water Australia</t>
        </is>
      </c>
    </row>
    <row r="160">
      <c r="A160" s="6" t="inlineStr">
        <is>
          <t>tap water perth</t>
        </is>
      </c>
      <c r="B160" s="7" t="n">
        <v>140</v>
      </c>
      <c r="C160" s="10" t="n">
        <v>0</v>
      </c>
      <c r="D160" s="6" t="n">
        <v>0.01</v>
      </c>
      <c r="E160" s="6" t="inlineStr">
        <is>
          <t>City - Perth</t>
        </is>
      </c>
      <c r="F160" s="4" t="inlineStr">
        <is>
          <t>Stable</t>
        </is>
      </c>
      <c r="G160" s="6" t="inlineStr"/>
      <c r="H160" s="6" t="inlineStr">
        <is>
          <t>Tap Water Perth</t>
        </is>
      </c>
    </row>
    <row r="161">
      <c r="A161" s="4" t="inlineStr">
        <is>
          <t>is tap water safe to drink in brisbane</t>
        </is>
      </c>
      <c r="B161" s="5" t="n">
        <v>110</v>
      </c>
      <c r="C161" s="11" t="n">
        <v>0</v>
      </c>
      <c r="D161" s="4" t="n">
        <v>0</v>
      </c>
      <c r="E161" s="4" t="inlineStr">
        <is>
          <t>City - Brisbane</t>
        </is>
      </c>
      <c r="F161" s="4" t="inlineStr">
        <is>
          <t>Stable</t>
        </is>
      </c>
      <c r="G161" s="4" t="inlineStr"/>
      <c r="H161" s="4" t="inlineStr">
        <is>
          <t>Tap Water Brisbane</t>
        </is>
      </c>
    </row>
    <row r="162">
      <c r="A162" s="6" t="inlineStr">
        <is>
          <t>canberra water quality</t>
        </is>
      </c>
      <c r="B162" s="7" t="n">
        <v>110</v>
      </c>
      <c r="C162" s="10" t="n">
        <v>2.88</v>
      </c>
      <c r="D162" s="6" t="n">
        <v>0.07000000000000001</v>
      </c>
      <c r="E162" s="6" t="inlineStr">
        <is>
          <t>City - Canberra</t>
        </is>
      </c>
      <c r="F162" s="12" t="inlineStr">
        <is>
          <t>Rising</t>
        </is>
      </c>
      <c r="G162" s="6" t="inlineStr"/>
      <c r="H162" s="6" t="inlineStr">
        <is>
          <t>Tap Water Canberra</t>
        </is>
      </c>
    </row>
    <row r="163">
      <c r="A163" s="4" t="inlineStr">
        <is>
          <t>perth water quality</t>
        </is>
      </c>
      <c r="B163" s="5" t="n">
        <v>110</v>
      </c>
      <c r="C163" s="11" t="n">
        <v>0</v>
      </c>
      <c r="D163" s="4" t="n">
        <v>0.02</v>
      </c>
      <c r="E163" s="4" t="inlineStr">
        <is>
          <t>City - Perth</t>
        </is>
      </c>
      <c r="F163" s="4" t="inlineStr">
        <is>
          <t>Stable</t>
        </is>
      </c>
      <c r="G163" s="4" t="inlineStr"/>
      <c r="H163" s="4" t="inlineStr">
        <is>
          <t>Tap Water Perth</t>
        </is>
      </c>
    </row>
    <row r="164">
      <c r="A164" s="6" t="inlineStr">
        <is>
          <t>is perth water safe to drink</t>
        </is>
      </c>
      <c r="B164" s="7" t="n">
        <v>90</v>
      </c>
      <c r="C164" s="10" t="n">
        <v>0</v>
      </c>
      <c r="D164" s="6" t="n">
        <v>0.02</v>
      </c>
      <c r="E164" s="6" t="inlineStr">
        <is>
          <t>City - Perth</t>
        </is>
      </c>
      <c r="F164" s="4" t="inlineStr">
        <is>
          <t>Stable</t>
        </is>
      </c>
      <c r="G164" s="6" t="inlineStr"/>
      <c r="H164" s="6" t="inlineStr">
        <is>
          <t>Tap Water Perth</t>
        </is>
      </c>
    </row>
    <row r="165">
      <c r="A165" s="4" t="inlineStr">
        <is>
          <t>is brisbane water safe to drink</t>
        </is>
      </c>
      <c r="B165" s="5" t="n">
        <v>90</v>
      </c>
      <c r="C165" s="11" t="n">
        <v>0</v>
      </c>
      <c r="D165" s="4" t="n">
        <v>0</v>
      </c>
      <c r="E165" s="4" t="inlineStr">
        <is>
          <t>City - Brisbane</t>
        </is>
      </c>
      <c r="F165" s="13" t="inlineStr">
        <is>
          <t>Declining</t>
        </is>
      </c>
      <c r="G165" s="4" t="inlineStr"/>
      <c r="H165" s="4" t="inlineStr">
        <is>
          <t>Tap Water Brisbane</t>
        </is>
      </c>
    </row>
    <row r="166">
      <c r="A166" s="6" t="inlineStr">
        <is>
          <t>adelaide water quality</t>
        </is>
      </c>
      <c r="B166" s="7" t="n">
        <v>40</v>
      </c>
      <c r="C166" s="10" t="n">
        <v>2.42</v>
      </c>
      <c r="D166" s="6" t="n">
        <v>0.25</v>
      </c>
      <c r="E166" s="6" t="inlineStr">
        <is>
          <t>City - Adelaide</t>
        </is>
      </c>
      <c r="F166" s="4" t="inlineStr">
        <is>
          <t>Stable</t>
        </is>
      </c>
      <c r="G166" s="6" t="inlineStr"/>
      <c r="H166" s="6" t="inlineStr"/>
    </row>
    <row r="167">
      <c r="A167" s="4" t="inlineStr">
        <is>
          <t>can you drink the tap water in singapore</t>
        </is>
      </c>
      <c r="B167" s="5" t="n">
        <v>260</v>
      </c>
      <c r="C167" s="11" t="n">
        <v>0</v>
      </c>
      <c r="D167" s="4" t="n">
        <v>0.01</v>
      </c>
      <c r="E167" s="4" t="inlineStr">
        <is>
          <t>Travel</t>
        </is>
      </c>
      <c r="F167" s="4" t="inlineStr">
        <is>
          <t>Stable</t>
        </is>
      </c>
      <c r="G167" s="4" t="inlineStr"/>
      <c r="H167" s="4" t="inlineStr"/>
    </row>
    <row r="168">
      <c r="A168" s="6" t="inlineStr">
        <is>
          <t>can you drink the tap water in thailand</t>
        </is>
      </c>
      <c r="B168" s="7" t="n">
        <v>90</v>
      </c>
      <c r="C168" s="10" t="n">
        <v>0</v>
      </c>
      <c r="D168" s="6" t="n">
        <v>0</v>
      </c>
      <c r="E168" s="6" t="inlineStr">
        <is>
          <t>Travel</t>
        </is>
      </c>
      <c r="F168" s="4" t="inlineStr">
        <is>
          <t>Stable</t>
        </is>
      </c>
      <c r="G168" s="6" t="inlineStr"/>
      <c r="H168" s="6" t="inlineStr"/>
    </row>
    <row r="169">
      <c r="A169" s="4" t="inlineStr">
        <is>
          <t>can you drink the tap water in italy</t>
        </is>
      </c>
      <c r="B169" s="5" t="n">
        <v>90</v>
      </c>
      <c r="C169" s="11" t="n">
        <v>0</v>
      </c>
      <c r="D169" s="4" t="n">
        <v>0.01</v>
      </c>
      <c r="E169" s="4" t="inlineStr">
        <is>
          <t>Travel</t>
        </is>
      </c>
      <c r="F169" s="4" t="inlineStr">
        <is>
          <t>Stable</t>
        </is>
      </c>
      <c r="G169" s="4" t="inlineStr"/>
      <c r="H169" s="4" t="inlineStr"/>
    </row>
    <row r="170">
      <c r="A170" s="6" t="inlineStr">
        <is>
          <t>can you drink the tap water in japan</t>
        </is>
      </c>
      <c r="B170" s="7" t="n">
        <v>50</v>
      </c>
      <c r="C170" s="10" t="n">
        <v>0</v>
      </c>
      <c r="D170" s="6" t="n">
        <v>0</v>
      </c>
      <c r="E170" s="6" t="inlineStr">
        <is>
          <t>Travel</t>
        </is>
      </c>
      <c r="F170" s="4" t="inlineStr">
        <is>
          <t>Stable</t>
        </is>
      </c>
      <c r="G170" s="6" t="inlineStr"/>
      <c r="H170" s="6" t="inlineStr"/>
    </row>
    <row r="171">
      <c r="A171" s="4" t="inlineStr">
        <is>
          <t>water filter bunnings</t>
        </is>
      </c>
      <c r="B171" s="5" t="n">
        <v>12100</v>
      </c>
      <c r="C171" s="11" t="n">
        <v>0.06</v>
      </c>
      <c r="D171" s="4" t="n">
        <v>1</v>
      </c>
      <c r="E171" s="4" t="inlineStr">
        <is>
          <t>Bunnings</t>
        </is>
      </c>
      <c r="F171" s="4" t="inlineStr">
        <is>
          <t>Stable</t>
        </is>
      </c>
      <c r="G171" s="4" t="inlineStr"/>
      <c r="H171" s="4" t="inlineStr">
        <is>
          <t>Water Filter Bunnings</t>
        </is>
      </c>
    </row>
    <row r="172">
      <c r="A172" s="6" t="inlineStr">
        <is>
          <t>water filter caravan</t>
        </is>
      </c>
      <c r="B172" s="7" t="n">
        <v>2900</v>
      </c>
      <c r="C172" s="10" t="n">
        <v>0.29</v>
      </c>
      <c r="D172" s="6" t="n">
        <v>1</v>
      </c>
      <c r="E172" s="6" t="inlineStr">
        <is>
          <t>Use Case</t>
        </is>
      </c>
      <c r="F172" s="4" t="inlineStr">
        <is>
          <t>Stable</t>
        </is>
      </c>
      <c r="G172" s="6" t="inlineStr"/>
      <c r="H172" s="6" t="inlineStr">
        <is>
          <t>Water Filter Caravan</t>
        </is>
      </c>
    </row>
    <row r="173">
      <c r="A173" s="4" t="inlineStr">
        <is>
          <t>water test kit</t>
        </is>
      </c>
      <c r="B173" s="5" t="n">
        <v>1600</v>
      </c>
      <c r="C173" s="11" t="n">
        <v>0.7</v>
      </c>
      <c r="D173" s="4" t="n">
        <v>1</v>
      </c>
      <c r="E173" s="4" t="inlineStr">
        <is>
          <t>Use Case</t>
        </is>
      </c>
      <c r="F173" s="4" t="inlineStr">
        <is>
          <t>Stable</t>
        </is>
      </c>
      <c r="G173" s="4" t="inlineStr"/>
      <c r="H173" s="4" t="inlineStr"/>
    </row>
    <row r="174">
      <c r="A174" s="6" t="inlineStr">
        <is>
          <t>water filter fridge</t>
        </is>
      </c>
      <c r="B174" s="7" t="n">
        <v>1300</v>
      </c>
      <c r="C174" s="10" t="n">
        <v>0.57</v>
      </c>
      <c r="D174" s="6" t="n">
        <v>1</v>
      </c>
      <c r="E174" s="6" t="inlineStr">
        <is>
          <t>Use Case</t>
        </is>
      </c>
      <c r="F174" s="4" t="inlineStr">
        <is>
          <t>Stable</t>
        </is>
      </c>
      <c r="G174" s="6" t="inlineStr"/>
      <c r="H174" s="6" t="inlineStr"/>
    </row>
    <row r="175">
      <c r="A175" s="4" t="inlineStr">
        <is>
          <t>water filter camping</t>
        </is>
      </c>
      <c r="B175" s="5" t="n">
        <v>880</v>
      </c>
      <c r="C175" s="11" t="n">
        <v>0.16</v>
      </c>
      <c r="D175" s="4" t="n">
        <v>1</v>
      </c>
      <c r="E175" s="4" t="inlineStr">
        <is>
          <t>Use Case</t>
        </is>
      </c>
      <c r="F175" s="4" t="inlineStr">
        <is>
          <t>Stable</t>
        </is>
      </c>
      <c r="G175" s="4" t="inlineStr"/>
      <c r="H175" s="4" t="inlineStr">
        <is>
          <t>Water Filter Caravan</t>
        </is>
      </c>
    </row>
    <row r="176">
      <c r="A176" s="6" t="inlineStr">
        <is>
          <t>water purification</t>
        </is>
      </c>
      <c r="B176" s="7" t="n">
        <v>590</v>
      </c>
      <c r="C176" s="10" t="n">
        <v>1.22</v>
      </c>
      <c r="D176" s="6" t="n">
        <v>0.77</v>
      </c>
      <c r="E176" s="6" t="inlineStr">
        <is>
          <t>Use Case</t>
        </is>
      </c>
      <c r="F176" s="4" t="inlineStr">
        <is>
          <t>Stable</t>
        </is>
      </c>
      <c r="G176" s="6" t="inlineStr"/>
      <c r="H176" s="6" t="inlineStr"/>
    </row>
    <row r="177">
      <c r="A177" s="4" t="inlineStr">
        <is>
          <t>water quality test</t>
        </is>
      </c>
      <c r="B177" s="5" t="n">
        <v>480</v>
      </c>
      <c r="C177" s="11" t="n">
        <v>0.83</v>
      </c>
      <c r="D177" s="4" t="n">
        <v>1</v>
      </c>
      <c r="E177" s="4" t="inlineStr">
        <is>
          <t>Use Case</t>
        </is>
      </c>
      <c r="F177" s="4" t="inlineStr">
        <is>
          <t>Stable</t>
        </is>
      </c>
      <c r="G177" s="4" t="inlineStr"/>
      <c r="H177" s="4" t="inlineStr"/>
    </row>
    <row r="178">
      <c r="A178" s="6" t="inlineStr">
        <is>
          <t>water filter office</t>
        </is>
      </c>
      <c r="B178" s="7" t="n">
        <v>210</v>
      </c>
      <c r="C178" s="10" t="n">
        <v>1.86</v>
      </c>
      <c r="D178" s="6" t="n">
        <v>1</v>
      </c>
      <c r="E178" s="6" t="inlineStr">
        <is>
          <t>Use Case</t>
        </is>
      </c>
      <c r="F178" s="4" t="inlineStr">
        <is>
          <t>Stable</t>
        </is>
      </c>
      <c r="G178" s="6" t="inlineStr"/>
      <c r="H178" s="6" t="inlineStr">
        <is>
          <t>Water Filter Office</t>
        </is>
      </c>
    </row>
    <row r="179">
      <c r="A179" s="4" t="inlineStr">
        <is>
          <t>water quality australia</t>
        </is>
      </c>
      <c r="B179" s="5" t="n">
        <v>170</v>
      </c>
      <c r="C179" s="11" t="n">
        <v>0</v>
      </c>
      <c r="D179" s="4" t="n">
        <v>0.01</v>
      </c>
      <c r="E179" s="4" t="inlineStr">
        <is>
          <t>Use Case</t>
        </is>
      </c>
      <c r="F179" s="13" t="inlineStr">
        <is>
          <t>Declining</t>
        </is>
      </c>
      <c r="G179" s="4" t="inlineStr"/>
      <c r="H179" s="4" t="inlineStr">
        <is>
          <t>Can You Drink Tap Water Australia</t>
        </is>
      </c>
    </row>
    <row r="180">
      <c r="A180" s="6" t="inlineStr">
        <is>
          <t>water treatment australia</t>
        </is>
      </c>
      <c r="B180" s="7" t="n">
        <v>170</v>
      </c>
      <c r="C180" s="10" t="n">
        <v>1.45</v>
      </c>
      <c r="D180" s="6" t="n">
        <v>0.3</v>
      </c>
      <c r="E180" s="6" t="inlineStr">
        <is>
          <t>Use Case</t>
        </is>
      </c>
      <c r="F180" s="13" t="inlineStr">
        <is>
          <t>Declining</t>
        </is>
      </c>
      <c r="G180" s="6" t="inlineStr"/>
      <c r="H180" s="6" t="inlineStr"/>
    </row>
    <row r="181">
      <c r="A181" s="4" t="inlineStr">
        <is>
          <t>how to change water filter</t>
        </is>
      </c>
      <c r="B181" s="5" t="n">
        <v>90</v>
      </c>
      <c r="C181" s="11" t="n">
        <v>1.47</v>
      </c>
      <c r="D181" s="4" t="n">
        <v>0.06</v>
      </c>
      <c r="E181" s="4" t="inlineStr">
        <is>
          <t>Use Case</t>
        </is>
      </c>
      <c r="F181" s="4" t="inlineStr">
        <is>
          <t>Stable</t>
        </is>
      </c>
      <c r="G181" s="4" t="inlineStr"/>
      <c r="H181" s="4" t="inlineStr"/>
    </row>
    <row r="182">
      <c r="A182" s="6" t="inlineStr">
        <is>
          <t>water filter comparison</t>
        </is>
      </c>
      <c r="B182" s="7" t="n">
        <v>70</v>
      </c>
      <c r="C182" s="10" t="n">
        <v>0.48</v>
      </c>
      <c r="D182" s="6" t="n">
        <v>1</v>
      </c>
      <c r="E182" s="6" t="inlineStr">
        <is>
          <t>Use Case</t>
        </is>
      </c>
      <c r="F182" s="13" t="inlineStr">
        <is>
          <t>Declining</t>
        </is>
      </c>
      <c r="G182" s="6" t="inlineStr"/>
      <c r="H182" s="6" t="inlineStr">
        <is>
          <t>RO vs Tap Filter</t>
        </is>
      </c>
    </row>
    <row r="183">
      <c r="A183" s="4" t="inlineStr">
        <is>
          <t>how long do water filters last</t>
        </is>
      </c>
      <c r="B183" s="5" t="n">
        <v>50</v>
      </c>
      <c r="C183" s="11" t="n">
        <v>0.78</v>
      </c>
      <c r="D183" s="4" t="n">
        <v>0.44</v>
      </c>
      <c r="E183" s="4" t="inlineStr">
        <is>
          <t>Use Case</t>
        </is>
      </c>
      <c r="F183" s="4" t="inlineStr">
        <is>
          <t>Stable</t>
        </is>
      </c>
      <c r="G183" s="4" t="inlineStr"/>
      <c r="H183" s="4" t="inlineStr"/>
    </row>
    <row r="184">
      <c r="A184" s="6" t="inlineStr">
        <is>
          <t>water filter subscription</t>
        </is>
      </c>
      <c r="B184" s="7" t="n">
        <v>10</v>
      </c>
      <c r="C184" s="10" t="n">
        <v>1.09</v>
      </c>
      <c r="D184" s="6" t="n">
        <v>0.71</v>
      </c>
      <c r="E184" s="6" t="inlineStr">
        <is>
          <t>Use Case</t>
        </is>
      </c>
      <c r="F184" s="4" t="inlineStr">
        <is>
          <t>Stable</t>
        </is>
      </c>
      <c r="G184" s="6" t="inlineStr"/>
      <c r="H184" s="6" t="inlineStr"/>
    </row>
    <row r="185">
      <c r="A185" s="4" t="inlineStr">
        <is>
          <t>water filter for renters</t>
        </is>
      </c>
      <c r="B185" s="5" t="n">
        <v>10</v>
      </c>
      <c r="C185" s="11" t="n">
        <v>1.68</v>
      </c>
      <c r="D185" s="4" t="n">
        <v>1</v>
      </c>
      <c r="E185" s="4" t="inlineStr">
        <is>
          <t>Use Case</t>
        </is>
      </c>
      <c r="F185" s="4" t="inlineStr">
        <is>
          <t>Stable</t>
        </is>
      </c>
      <c r="G185" s="4" t="inlineStr"/>
      <c r="H185" s="4" t="inlineStr">
        <is>
          <t>Water Filter for Renters</t>
        </is>
      </c>
    </row>
    <row r="186">
      <c r="A186" s="6" t="inlineStr">
        <is>
          <t>bottled water plastic</t>
        </is>
      </c>
      <c r="B186" s="7" t="n">
        <v>170</v>
      </c>
      <c r="C186" s="10" t="n">
        <v>0</v>
      </c>
      <c r="D186" s="6" t="n">
        <v>0.71</v>
      </c>
      <c r="E186" s="6" t="inlineStr">
        <is>
          <t>Sustainability</t>
        </is>
      </c>
      <c r="F186" s="4" t="inlineStr">
        <is>
          <t>Stable</t>
        </is>
      </c>
      <c r="G186" s="6" t="inlineStr"/>
      <c r="H186" s="6" t="inlineStr">
        <is>
          <t>Bottled Water vs Tap</t>
        </is>
      </c>
    </row>
    <row r="187">
      <c r="A187" s="4" t="inlineStr">
        <is>
          <t>bottled water australia</t>
        </is>
      </c>
      <c r="B187" s="5" t="n">
        <v>140</v>
      </c>
      <c r="C187" s="11" t="n">
        <v>0.66</v>
      </c>
      <c r="D187" s="4" t="n">
        <v>1</v>
      </c>
      <c r="E187" s="4" t="inlineStr">
        <is>
          <t>Sustainability</t>
        </is>
      </c>
      <c r="F187" s="14" t="inlineStr">
        <is>
          <t>Volatile</t>
        </is>
      </c>
      <c r="G187" s="4" t="inlineStr"/>
      <c r="H187" s="4" t="inlineStr">
        <is>
          <t>Bottled Water vs Tap</t>
        </is>
      </c>
    </row>
    <row r="188">
      <c r="A188" s="6" t="inlineStr">
        <is>
          <t>filtered water benefits</t>
        </is>
      </c>
      <c r="B188" s="7" t="n">
        <v>110</v>
      </c>
      <c r="C188" s="10" t="n">
        <v>0.05</v>
      </c>
      <c r="D188" s="6" t="n">
        <v>0.25</v>
      </c>
      <c r="E188" s="6" t="inlineStr">
        <is>
          <t>Sustainability</t>
        </is>
      </c>
      <c r="F188" s="13" t="inlineStr">
        <is>
          <t>Declining</t>
        </is>
      </c>
      <c r="G188" s="6" t="inlineStr"/>
      <c r="H188" s="6" t="inlineStr">
        <is>
          <t>Bottled Water vs Tap</t>
        </is>
      </c>
    </row>
    <row r="189">
      <c r="A189" s="4" t="inlineStr">
        <is>
          <t>is bottled water better than tap</t>
        </is>
      </c>
      <c r="B189" s="5" t="n">
        <v>90</v>
      </c>
      <c r="C189" s="11" t="n">
        <v>0</v>
      </c>
      <c r="D189" s="4" t="n">
        <v>0</v>
      </c>
      <c r="E189" s="4" t="inlineStr">
        <is>
          <t>Sustainability</t>
        </is>
      </c>
      <c r="F189" s="4" t="inlineStr">
        <is>
          <t>Stable</t>
        </is>
      </c>
      <c r="G189" s="4" t="inlineStr"/>
      <c r="H189" s="4" t="inlineStr">
        <is>
          <t>Bottled Water vs Tap</t>
        </is>
      </c>
    </row>
    <row r="190">
      <c r="A190" s="6" t="inlineStr">
        <is>
          <t>bpa water bottle</t>
        </is>
      </c>
      <c r="B190" s="7" t="n">
        <v>90</v>
      </c>
      <c r="C190" s="10" t="n">
        <v>0</v>
      </c>
      <c r="D190" s="6" t="n">
        <v>0.76</v>
      </c>
      <c r="E190" s="6" t="inlineStr">
        <is>
          <t>Sustainability</t>
        </is>
      </c>
      <c r="F190" s="4" t="inlineStr">
        <is>
          <t>Stable</t>
        </is>
      </c>
      <c r="G190" s="6" t="inlineStr"/>
      <c r="H190" s="6" t="inlineStr">
        <is>
          <t>Bottled Water vs Tap</t>
        </is>
      </c>
    </row>
    <row r="191">
      <c r="A191" s="4" t="inlineStr">
        <is>
          <t>tap water vs filtered water</t>
        </is>
      </c>
      <c r="B191" s="5" t="n">
        <v>70</v>
      </c>
      <c r="C191" s="11" t="n">
        <v>0.03</v>
      </c>
      <c r="D191" s="4" t="n">
        <v>0.15</v>
      </c>
      <c r="E191" s="4" t="inlineStr">
        <is>
          <t>Sustainability</t>
        </is>
      </c>
      <c r="F191" s="14" t="inlineStr">
        <is>
          <t>Volatile</t>
        </is>
      </c>
      <c r="G191" s="4" t="inlineStr"/>
      <c r="H191" s="4" t="inlineStr">
        <is>
          <t>Bottled Water vs Tap</t>
        </is>
      </c>
    </row>
    <row r="192">
      <c r="A192" s="6" t="inlineStr">
        <is>
          <t>what is in tap water</t>
        </is>
      </c>
      <c r="B192" s="7" t="n">
        <v>70</v>
      </c>
      <c r="C192" s="10" t="n">
        <v>0</v>
      </c>
      <c r="D192" s="6" t="n">
        <v>0.02</v>
      </c>
      <c r="E192" s="6" t="inlineStr">
        <is>
          <t>Sustainability</t>
        </is>
      </c>
      <c r="F192" s="4" t="inlineStr">
        <is>
          <t>Stable</t>
        </is>
      </c>
      <c r="G192" s="6" t="inlineStr"/>
      <c r="H192" s="6" t="inlineStr">
        <is>
          <t>Can You Drink Tap Water Australia</t>
        </is>
      </c>
    </row>
    <row r="193">
      <c r="A193" s="4" t="inlineStr">
        <is>
          <t>bottled water vs filtered water</t>
        </is>
      </c>
      <c r="B193" s="5" t="n">
        <v>20</v>
      </c>
      <c r="C193" s="11" t="n">
        <v>0</v>
      </c>
      <c r="D193" s="4" t="n">
        <v>0.09</v>
      </c>
      <c r="E193" s="4" t="inlineStr">
        <is>
          <t>Sustainability</t>
        </is>
      </c>
      <c r="F193" s="4" t="inlineStr">
        <is>
          <t>Stable</t>
        </is>
      </c>
      <c r="G193" s="4" t="inlineStr"/>
      <c r="H193" s="4" t="inlineStr">
        <is>
          <t>Bottled Water vs Tap</t>
        </is>
      </c>
    </row>
    <row r="194">
      <c r="A194" s="6" t="inlineStr">
        <is>
          <t>water filter vs bottled water</t>
        </is>
      </c>
      <c r="B194" s="7" t="n">
        <v>20</v>
      </c>
      <c r="C194" s="10" t="n">
        <v>0</v>
      </c>
      <c r="D194" s="6" t="n">
        <v>0.01</v>
      </c>
      <c r="E194" s="6" t="inlineStr">
        <is>
          <t>Sustainability</t>
        </is>
      </c>
      <c r="F194" s="4" t="inlineStr">
        <is>
          <t>Stable</t>
        </is>
      </c>
      <c r="G194" s="6" t="inlineStr"/>
      <c r="H194" s="6" t="inlineStr">
        <is>
          <t>Bottled Water vs Tap</t>
        </is>
      </c>
    </row>
    <row r="195">
      <c r="A195" s="4" t="inlineStr">
        <is>
          <t>shower filter for eczema</t>
        </is>
      </c>
      <c r="B195" s="5" t="n">
        <v>70</v>
      </c>
      <c r="C195" s="11" t="n">
        <v>0.97</v>
      </c>
      <c r="D195" s="4" t="n">
        <v>0.84</v>
      </c>
      <c r="E195" s="4" t="inlineStr">
        <is>
          <t>Health/Beauty</t>
        </is>
      </c>
      <c r="F195" s="15" t="inlineStr">
        <is>
          <t>Spiking</t>
        </is>
      </c>
      <c r="G195" s="4" t="inlineStr"/>
      <c r="H195" s="4" t="inlineStr">
        <is>
          <t>Shower Filter Eczema</t>
        </is>
      </c>
    </row>
    <row r="196">
      <c r="A196" s="6" t="inlineStr">
        <is>
          <t>shower filter for hair loss</t>
        </is>
      </c>
      <c r="B196" s="7" t="n">
        <v>30</v>
      </c>
      <c r="C196" s="10" t="n">
        <v>1.07</v>
      </c>
      <c r="D196" s="6" t="n">
        <v>1</v>
      </c>
      <c r="E196" s="6" t="inlineStr">
        <is>
          <t>Health/Beauty</t>
        </is>
      </c>
      <c r="F196" s="15" t="inlineStr">
        <is>
          <t>Spiking</t>
        </is>
      </c>
      <c r="G196" s="6" t="inlineStr"/>
      <c r="H196" s="6" t="inlineStr">
        <is>
          <t>Shower Filter Hair Loss</t>
        </is>
      </c>
    </row>
    <row r="197">
      <c r="A197" s="4" t="inlineStr">
        <is>
          <t>water filter for eczema</t>
        </is>
      </c>
      <c r="B197" s="5" t="n">
        <v>20</v>
      </c>
      <c r="C197" s="11" t="n">
        <v>0.85</v>
      </c>
      <c r="D197" s="4" t="n">
        <v>1</v>
      </c>
      <c r="E197" s="4" t="inlineStr">
        <is>
          <t>Health/Beauty</t>
        </is>
      </c>
      <c r="F197" s="4" t="inlineStr">
        <is>
          <t>Stable</t>
        </is>
      </c>
      <c r="G197" s="4" t="inlineStr"/>
      <c r="H197" s="4" t="inlineStr">
        <is>
          <t>Shower Filter Eczema</t>
        </is>
      </c>
    </row>
    <row r="198">
      <c r="A198" s="6" t="inlineStr">
        <is>
          <t>water filter for hair</t>
        </is>
      </c>
      <c r="B198" s="7" t="n">
        <v>20</v>
      </c>
      <c r="C198" s="10" t="n">
        <v>0.89</v>
      </c>
      <c r="D198" s="6" t="n">
        <v>0.95</v>
      </c>
      <c r="E198" s="6" t="inlineStr">
        <is>
          <t>Health/Beauty</t>
        </is>
      </c>
      <c r="F198" s="4" t="inlineStr">
        <is>
          <t>Stable</t>
        </is>
      </c>
      <c r="G198" s="6" t="inlineStr"/>
      <c r="H198" s="6" t="inlineStr">
        <is>
          <t>Shower Filter Chlorine</t>
        </is>
      </c>
    </row>
    <row r="199">
      <c r="A199" s="4" t="inlineStr">
        <is>
          <t>water filter for skin</t>
        </is>
      </c>
      <c r="B199" s="5" t="n">
        <v>10</v>
      </c>
      <c r="C199" s="11" t="n">
        <v>0</v>
      </c>
      <c r="D199" s="4" t="n">
        <v>0.44</v>
      </c>
      <c r="E199" s="4" t="inlineStr">
        <is>
          <t>Health/Beauty</t>
        </is>
      </c>
      <c r="F199" s="4" t="inlineStr">
        <is>
          <t>Stable</t>
        </is>
      </c>
      <c r="G199" s="4" t="inlineStr"/>
      <c r="H199" s="4" t="inlineStr">
        <is>
          <t>Shower Filter Collection</t>
        </is>
      </c>
    </row>
    <row r="200">
      <c r="A200" s="6" t="inlineStr">
        <is>
          <t>drinking water while pregnant</t>
        </is>
      </c>
      <c r="B200" s="7" t="n">
        <v>20</v>
      </c>
      <c r="C200" s="10" t="n">
        <v>0</v>
      </c>
      <c r="D200" s="6" t="n">
        <v>0</v>
      </c>
      <c r="E200" s="6" t="inlineStr">
        <is>
          <t>Health/Beauty</t>
        </is>
      </c>
      <c r="F200" s="4" t="inlineStr">
        <is>
          <t>Stable</t>
        </is>
      </c>
      <c r="G200" s="6" t="inlineStr"/>
      <c r="H200" s="6" t="inlineStr"/>
    </row>
    <row r="201">
      <c r="A201" s="4" t="inlineStr">
        <is>
          <t>water filter for baby formula</t>
        </is>
      </c>
      <c r="B201" s="5" t="n">
        <v>10</v>
      </c>
      <c r="C201" s="11" t="n">
        <v>0</v>
      </c>
      <c r="D201" s="4" t="n">
        <v>0.67</v>
      </c>
      <c r="E201" s="4" t="inlineStr">
        <is>
          <t>Health/Beauty</t>
        </is>
      </c>
      <c r="F201" s="4" t="inlineStr">
        <is>
          <t>Stable</t>
        </is>
      </c>
      <c r="G201" s="4" t="inlineStr"/>
      <c r="H201" s="4" t="inlineStr"/>
    </row>
    <row r="202">
      <c r="A202" s="6" t="inlineStr">
        <is>
          <t>filtered water for babies</t>
        </is>
      </c>
      <c r="B202" s="7" t="n">
        <v>10</v>
      </c>
      <c r="C202" s="10" t="n">
        <v>0</v>
      </c>
      <c r="D202" s="6" t="n">
        <v>1</v>
      </c>
      <c r="E202" s="6" t="inlineStr">
        <is>
          <t>Health/Beauty</t>
        </is>
      </c>
      <c r="F202" s="4" t="inlineStr">
        <is>
          <t>Stable</t>
        </is>
      </c>
      <c r="G202" s="6" t="inlineStr"/>
      <c r="H202" s="6" t="inlineStr"/>
    </row>
    <row r="203">
      <c r="A203" s="4" t="inlineStr">
        <is>
          <t>tapp water</t>
        </is>
      </c>
      <c r="B203" s="5" t="n">
        <v>150</v>
      </c>
      <c r="C203" s="11" t="n">
        <v>0</v>
      </c>
      <c r="D203" s="4" t="n">
        <v>0</v>
      </c>
      <c r="E203" s="4" t="inlineStr">
        <is>
          <t>Branded</t>
        </is>
      </c>
      <c r="F203" s="4" t="inlineStr">
        <is>
          <t>Stable</t>
        </is>
      </c>
      <c r="G203" s="4" t="inlineStr">
        <is>
          <t>#1</t>
        </is>
      </c>
      <c r="H203" s="4" t="inlineStr">
        <is>
          <t>Homepage</t>
        </is>
      </c>
    </row>
    <row r="204">
      <c r="A204" s="6" t="inlineStr">
        <is>
          <t>tapp water filter</t>
        </is>
      </c>
      <c r="B204" s="7" t="n">
        <v>63</v>
      </c>
      <c r="C204" s="10" t="n">
        <v>0</v>
      </c>
      <c r="D204" s="6" t="n">
        <v>0</v>
      </c>
      <c r="E204" s="6" t="inlineStr">
        <is>
          <t>Branded</t>
        </is>
      </c>
      <c r="F204" s="4" t="inlineStr">
        <is>
          <t>Stable</t>
        </is>
      </c>
      <c r="G204" s="6" t="inlineStr">
        <is>
          <t>#2</t>
        </is>
      </c>
      <c r="H204" s="6" t="inlineStr">
        <is>
          <t>EcoPro Product Page</t>
        </is>
      </c>
    </row>
    <row r="205">
      <c r="A205" s="4" t="inlineStr">
        <is>
          <t>tapp water filter review</t>
        </is>
      </c>
      <c r="B205" s="5" t="n">
        <v>43</v>
      </c>
      <c r="C205" s="11" t="n">
        <v>0.5</v>
      </c>
      <c r="D205" s="4" t="n">
        <v>1</v>
      </c>
      <c r="E205" s="4" t="inlineStr">
        <is>
          <t>Branded</t>
        </is>
      </c>
      <c r="F205" s="4" t="inlineStr">
        <is>
          <t>Stable</t>
        </is>
      </c>
      <c r="G205" s="4" t="inlineStr">
        <is>
          <t>#1</t>
        </is>
      </c>
      <c r="H205" s="4" t="inlineStr"/>
    </row>
    <row r="206">
      <c r="A206" s="6" t="inlineStr">
        <is>
          <t>tapp water australia</t>
        </is>
      </c>
      <c r="B206" s="7" t="n">
        <v>27</v>
      </c>
      <c r="C206" s="10" t="n">
        <v>0</v>
      </c>
      <c r="D206" s="6" t="n">
        <v>0</v>
      </c>
      <c r="E206" s="6" t="inlineStr">
        <is>
          <t>Branded</t>
        </is>
      </c>
      <c r="F206" s="4" t="inlineStr">
        <is>
          <t>Stable</t>
        </is>
      </c>
      <c r="G206" s="6" t="inlineStr">
        <is>
          <t>#1</t>
        </is>
      </c>
      <c r="H206" s="6" t="inlineStr">
        <is>
          <t>Homepage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22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Competitor</t>
        </is>
      </c>
      <c r="B1" s="1" t="inlineStr">
        <is>
          <t>Domain</t>
        </is>
      </c>
      <c r="C1" s="1" t="inlineStr">
        <is>
          <t>Category Focus</t>
        </is>
      </c>
      <c r="D1" s="1" t="inlineStr">
        <is>
          <t>Est. AU Organic Traffic/mo</t>
        </is>
      </c>
      <c r="E1" s="1" t="inlineStr">
        <is>
          <t>Top Keywords</t>
        </is>
      </c>
      <c r="F1" s="1" t="inlineStr">
        <is>
          <t>Strengths</t>
        </is>
      </c>
      <c r="G1" s="1" t="inlineStr">
        <is>
          <t>Weaknesses</t>
        </is>
      </c>
    </row>
    <row r="2">
      <c r="A2" s="6" t="inlineStr">
        <is>
          <t>Brita</t>
        </is>
      </c>
      <c r="B2" s="6" t="inlineStr">
        <is>
          <t>brita.com.au</t>
        </is>
      </c>
      <c r="C2" s="6" t="inlineStr">
        <is>
          <t>Water filter jugs, tap filters</t>
        </is>
      </c>
      <c r="D2" s="7" t="n">
        <v>14000</v>
      </c>
      <c r="E2" s="6" t="inlineStr">
        <is>
          <t>water purification jug (#1, 4,500)
brita water filter (#2, 2,700)
brita water filter jug (#1, 1,500)
water filtration water bottle (#1, 1,300)
limescale (#2, 390)</t>
        </is>
      </c>
      <c r="F2" s="6" t="inlineStr">
        <is>
          <t>Massive brand awareness
#1 for jug terms
Strong retail distribution (Coles, Woolworths, Bunnings)</t>
        </is>
      </c>
      <c r="G2" s="6" t="inlineStr">
        <is>
          <t>Weak on tap filter terms
No shower filter product
No RO product
No content marketing</t>
        </is>
      </c>
    </row>
    <row r="3">
      <c r="A3" s="4" t="inlineStr">
        <is>
          <t>Filtered Beauty</t>
        </is>
      </c>
      <c r="B3" s="4" t="inlineStr">
        <is>
          <t>filteredbeauty.com.au</t>
        </is>
      </c>
      <c r="C3" s="4" t="inlineStr">
        <is>
          <t>Shower filters</t>
        </is>
      </c>
      <c r="D3" s="5" t="n">
        <v>4000</v>
      </c>
      <c r="E3" s="4" t="inlineStr">
        <is>
          <t>shower filter (#2, 1,500)
water filtration for shower (#2, 1,500)
beauty filter (#1, 430)
shower water filter (#2, 200)
shower filter for hair (#1, 120)</t>
        </is>
      </c>
      <c r="F3" s="4" t="inlineStr">
        <is>
          <t>Owns shower filter category in AU
Beauty/wellness positioning
Strong brand story (hair stylist founder)</t>
        </is>
      </c>
      <c r="G3" s="4" t="inlineStr">
        <is>
          <t>Shower-only, no tap or RO
Narrow product range
Small team</t>
        </is>
      </c>
    </row>
    <row r="4">
      <c r="A4" s="6" t="inlineStr">
        <is>
          <t>Waterdrop</t>
        </is>
      </c>
      <c r="B4" s="6" t="inlineStr">
        <is>
          <t>waterdropfilter.com.au</t>
        </is>
      </c>
      <c r="C4" s="6" t="inlineStr">
        <is>
          <t>RO / Under-sink filters</t>
        </is>
      </c>
      <c r="D4" s="7" t="n">
        <v>5500</v>
      </c>
      <c r="E4" s="6" t="inlineStr">
        <is>
          <t>water drop (#2, 1,800)
reverse osmosis water filter (#3, 1,200)
water filter (#7, 1,000)
reverse osmosis filter (#3, 880)
countertop reverse osmosis (#1, 52)</t>
        </is>
      </c>
      <c r="F4" s="6" t="inlineStr">
        <is>
          <t>Owns RO category in AU
Good blog content driving traffic
Growing brand (waterdrop filter 320→880)</t>
        </is>
      </c>
      <c r="G4" s="6" t="inlineStr">
        <is>
          <t>US-centric content adapted for AU
No shower products
Brand still building AU awareness</t>
        </is>
      </c>
    </row>
    <row r="5">
      <c r="A5" s="4" t="inlineStr">
        <is>
          <t>My Water Filter</t>
        </is>
      </c>
      <c r="B5" s="4" t="inlineStr">
        <is>
          <t>mywaterfilter.com.au</t>
        </is>
      </c>
      <c r="C5" s="4" t="inlineStr">
        <is>
          <t>All categories (retailer)</t>
        </is>
      </c>
      <c r="D5" s="5" t="n">
        <v>7000</v>
      </c>
      <c r="E5" s="4" t="inlineStr">
        <is>
          <t>water filter (#3, 3,000)
water filters (#1, 1,200)
water filtration for shower (#4, 600)
water filtration system (#6, 410)
shower filter (#6, 310)</t>
        </is>
      </c>
      <c r="F5" s="4" t="inlineStr">
        <is>
          <t>Broadest authority across all categories
#1 for benchtop RO AU
Retailer model with wide range</t>
        </is>
      </c>
      <c r="G5" s="4" t="inlineStr">
        <is>
          <t>Retailer, not a brand
Dated website
No single brand focus
Weak content quality</t>
        </is>
      </c>
    </row>
    <row r="6">
      <c r="A6" s="6" t="inlineStr">
        <is>
          <t>Water Filters Australia</t>
        </is>
      </c>
      <c r="B6" s="6" t="inlineStr">
        <is>
          <t>waterfiltersaustralia.com.au</t>
        </is>
      </c>
      <c r="C6" s="6" t="inlineStr">
        <is>
          <t>RO / Countertop</t>
        </is>
      </c>
      <c r="D6" s="7" t="n">
        <v>800</v>
      </c>
      <c r="E6" s="6" t="inlineStr">
        <is>
          <t>water filters australia (#3, 430)
reverse osmosis filter countertop (#1, 64)
countertop RO water filter (#2, 34)
reverse osmosis benchtop (#1, 21)</t>
        </is>
      </c>
      <c r="F6" s="6" t="inlineStr">
        <is>
          <t>Owns countertop/benchtop RO niche terms
AU-focused domain name</t>
        </is>
      </c>
      <c r="G6" s="6" t="inlineStr">
        <is>
          <t>Small traffic overall
Limited product range
Low domain authority</t>
        </is>
      </c>
    </row>
    <row r="7">
      <c r="A7" s="4" t="inlineStr">
        <is>
          <t>Well Verti</t>
        </is>
      </c>
      <c r="B7" s="4" t="inlineStr">
        <is>
          <t>wellverti.com.au</t>
        </is>
      </c>
      <c r="C7" s="4" t="inlineStr">
        <is>
          <t>Shower filters</t>
        </is>
      </c>
      <c r="D7" s="5" t="n">
        <v>300</v>
      </c>
      <c r="E7" s="4" t="inlineStr">
        <is>
          <t>shower water filter (#6, 41)
shower head filter hard water AU (#2, 23)
best water filter for shower heads (#3, 20)
hard water shower filter (#2, 14)</t>
        </is>
      </c>
      <c r="F7" s="4" t="inlineStr">
        <is>
          <t>Claims 80K+ customers
Strong social/influencer marketing
ProductReview.com.au presence</t>
        </is>
      </c>
      <c r="G7" s="4" t="inlineStr">
        <is>
          <t>Very weak organic presence
Most traffic from paid/social
Not building SEO moat</t>
        </is>
      </c>
    </row>
    <row r="8">
      <c r="A8" s="6" t="inlineStr">
        <is>
          <t>Fettle Effect</t>
        </is>
      </c>
      <c r="B8" s="6" t="inlineStr">
        <is>
          <t>fettleeffect.com.au</t>
        </is>
      </c>
      <c r="C8" s="6" t="inlineStr">
        <is>
          <t>Shower filters</t>
        </is>
      </c>
      <c r="D8" s="7" t="n">
        <v>100</v>
      </c>
      <c r="E8" s="6" t="inlineStr">
        <is>
          <t>fettle (#4, 66)
best shower head filter australia (#2, 18)</t>
        </is>
      </c>
      <c r="F8" s="6" t="inlineStr">
        <is>
          <t>Beauty/wellness angle
Salon partnerships
15-stage filter marketing</t>
        </is>
      </c>
      <c r="G8" s="6" t="inlineStr">
        <is>
          <t>Tiny organic footprint
Narrow keyword coverage
Heavily reliant on offline/social</t>
        </is>
      </c>
    </row>
    <row r="9">
      <c r="A9" s="4" t="inlineStr">
        <is>
          <t>Stefani</t>
        </is>
      </c>
      <c r="B9" s="4" t="inlineStr">
        <is>
          <t>N/A</t>
        </is>
      </c>
      <c r="C9" s="4" t="inlineStr">
        <is>
          <t>Benchtop ceramic filters</t>
        </is>
      </c>
      <c r="D9" s="5" t="n">
        <v>0</v>
      </c>
      <c r="E9" s="4" t="inlineStr">
        <is>
          <t>stefani water filter (4,400 branded search)</t>
        </is>
      </c>
      <c r="F9" s="4" t="inlineStr">
        <is>
          <t>Massive branded search volume
Heritage Australian brand
Retail distribution</t>
        </is>
      </c>
      <c r="G9" s="4" t="inlineStr">
        <is>
          <t>No meaningful non-branded organic
Dated brand perception
No digital content strategy</t>
        </is>
      </c>
    </row>
    <row r="10">
      <c r="A10" s="6" t="inlineStr">
        <is>
          <t>Watego</t>
        </is>
      </c>
      <c r="B10" s="6" t="inlineStr">
        <is>
          <t>watego.com.au</t>
        </is>
      </c>
      <c r="C10" s="6" t="inlineStr">
        <is>
          <t>Shower filters</t>
        </is>
      </c>
      <c r="D10" s="7" t="n">
        <v>0</v>
      </c>
      <c r="E10" s="6" t="inlineStr">
        <is>
          <t>shower filter for hair australia (#12, 0)</t>
        </is>
      </c>
      <c r="F10" s="6" t="inlineStr">
        <is>
          <t>Active blog content strategy
Comparison posts (Watego vs Well Verti)</t>
        </is>
      </c>
      <c r="G10" s="6" t="inlineStr">
        <is>
          <t>Essentially invisible organically
Content not ranking
New entrant</t>
        </is>
      </c>
    </row>
    <row r="11">
      <c r="A11" s="16" t="inlineStr">
        <is>
          <t>Tapp Water (current)</t>
        </is>
      </c>
      <c r="B11" s="16" t="inlineStr">
        <is>
          <t>tappwater.com.au</t>
        </is>
      </c>
      <c r="C11" s="16" t="inlineStr">
        <is>
          <t>Tap filters, shower filters, RO (new)</t>
        </is>
      </c>
      <c r="D11" s="17" t="n">
        <v>1500</v>
      </c>
      <c r="E11" s="16" t="inlineStr">
        <is>
          <t>tap filter (#4, 180)
tapp water (#1, 150)
best tap filter (#1, 120)
tapp water filter (#2, 63)
tapp water filter review (#1, 43)</t>
        </is>
      </c>
      <c r="F11" s="16" t="inlineStr">
        <is>
          <t>Strong branded rankings
#1 for 'best tap filter'
Three-product lineup (tap + shower + RO)
Subscription model = LTV</t>
        </is>
      </c>
      <c r="G11" s="16" t="inlineStr">
        <is>
          <t>Low overall organic traffic
Weak shower filter rankings (#8 only)
No city/contaminant content
New to RO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Page Title</t>
        </is>
      </c>
      <c r="B1" s="1" t="inlineStr">
        <is>
          <t>Phase</t>
        </is>
      </c>
      <c r="C1" s="1" t="inlineStr">
        <is>
          <t>Cluster Volume</t>
        </is>
      </c>
      <c r="D1" s="1" t="inlineStr">
        <is>
          <t>Conservative (Pos 5-10, 3% CTR)</t>
        </is>
      </c>
      <c r="E1" s="1" t="inlineStr">
        <is>
          <t>Moderate (Pos 3-5, 8% CTR)</t>
        </is>
      </c>
      <c r="F1" s="1" t="inlineStr">
        <is>
          <t>Aggressive (Pos 1-3, 15% CTR)</t>
        </is>
      </c>
      <c r="G1" s="1" t="inlineStr">
        <is>
          <t>Rev Conservative ($)</t>
        </is>
      </c>
      <c r="H1" s="1" t="inlineStr">
        <is>
          <t>Rev Moderate ($)</t>
        </is>
      </c>
      <c r="I1" s="1" t="inlineStr">
        <is>
          <t>Rev Aggressive ($)</t>
        </is>
      </c>
    </row>
    <row r="2">
      <c r="A2" s="6" t="inlineStr">
        <is>
          <t>Shower Filter Collection</t>
        </is>
      </c>
      <c r="B2" s="6" t="n">
        <v>1</v>
      </c>
      <c r="C2" s="7" t="n">
        <v>44000</v>
      </c>
      <c r="D2" s="7">
        <f>C2*0.03</f>
        <v/>
      </c>
      <c r="E2" s="7">
        <f>C2*0.08</f>
        <v/>
      </c>
      <c r="F2" s="7">
        <f>C2*0.15</f>
        <v/>
      </c>
      <c r="G2" s="18">
        <f>D2*0.03*100</f>
        <v/>
      </c>
      <c r="H2" s="18">
        <f>E2*0.03*100</f>
        <v/>
      </c>
      <c r="I2" s="18">
        <f>F2*0.03*100</f>
        <v/>
      </c>
    </row>
    <row r="3">
      <c r="A3" s="4" t="inlineStr">
        <is>
          <t>Countertop RO Collection</t>
        </is>
      </c>
      <c r="B3" s="4" t="n">
        <v>1</v>
      </c>
      <c r="C3" s="5" t="n">
        <v>670</v>
      </c>
      <c r="D3" s="5">
        <f>C3*0.03</f>
        <v/>
      </c>
      <c r="E3" s="5">
        <f>C3*0.08</f>
        <v/>
      </c>
      <c r="F3" s="5">
        <f>C3*0.15</f>
        <v/>
      </c>
      <c r="G3" s="19">
        <f>D3*0.03*100</f>
        <v/>
      </c>
      <c r="H3" s="19">
        <f>E3*0.03*100</f>
        <v/>
      </c>
      <c r="I3" s="19">
        <f>F3*0.03*100</f>
        <v/>
      </c>
    </row>
    <row r="4">
      <c r="A4" s="6" t="inlineStr">
        <is>
          <t>EcoPro Product Page</t>
        </is>
      </c>
      <c r="B4" s="6" t="n">
        <v>1</v>
      </c>
      <c r="C4" s="7" t="n">
        <v>29180</v>
      </c>
      <c r="D4" s="7">
        <f>C4*0.03</f>
        <v/>
      </c>
      <c r="E4" s="7">
        <f>C4*0.08</f>
        <v/>
      </c>
      <c r="F4" s="7">
        <f>C4*0.15</f>
        <v/>
      </c>
      <c r="G4" s="18">
        <f>D4*0.03*100</f>
        <v/>
      </c>
      <c r="H4" s="18">
        <f>E4*0.03*100</f>
        <v/>
      </c>
      <c r="I4" s="18">
        <f>F4*0.03*100</f>
        <v/>
      </c>
    </row>
    <row r="5">
      <c r="A5" s="4" t="inlineStr">
        <is>
          <t>Best Water Filter Australia 2026</t>
        </is>
      </c>
      <c r="B5" s="4" t="n">
        <v>1</v>
      </c>
      <c r="C5" s="5" t="n">
        <v>6210</v>
      </c>
      <c r="D5" s="5">
        <f>C5*0.03</f>
        <v/>
      </c>
      <c r="E5" s="5">
        <f>C5*0.08</f>
        <v/>
      </c>
      <c r="F5" s="5">
        <f>C5*0.15</f>
        <v/>
      </c>
      <c r="G5" s="19">
        <f>D5*0.03*100</f>
        <v/>
      </c>
      <c r="H5" s="19">
        <f>E5*0.03*100</f>
        <v/>
      </c>
      <c r="I5" s="19">
        <f>F5*0.03*100</f>
        <v/>
      </c>
    </row>
    <row r="6">
      <c r="A6" s="6" t="inlineStr">
        <is>
          <t>Best Shower Filter Australia 2026</t>
        </is>
      </c>
      <c r="B6" s="6" t="n">
        <v>1</v>
      </c>
      <c r="C6" s="7" t="n">
        <v>2170</v>
      </c>
      <c r="D6" s="7">
        <f>C6*0.03</f>
        <v/>
      </c>
      <c r="E6" s="7">
        <f>C6*0.08</f>
        <v/>
      </c>
      <c r="F6" s="7">
        <f>C6*0.15</f>
        <v/>
      </c>
      <c r="G6" s="18">
        <f>D6*0.03*100</f>
        <v/>
      </c>
      <c r="H6" s="18">
        <f>E6*0.03*100</f>
        <v/>
      </c>
      <c r="I6" s="18">
        <f>F6*0.03*100</f>
        <v/>
      </c>
    </row>
    <row r="7">
      <c r="A7" s="4" t="inlineStr">
        <is>
          <t>Best RO Water Filter Australia 2026</t>
        </is>
      </c>
      <c r="B7" s="4" t="n">
        <v>1</v>
      </c>
      <c r="C7" s="5" t="n">
        <v>9720</v>
      </c>
      <c r="D7" s="5">
        <f>C7*0.03</f>
        <v/>
      </c>
      <c r="E7" s="5">
        <f>C7*0.08</f>
        <v/>
      </c>
      <c r="F7" s="5">
        <f>C7*0.15</f>
        <v/>
      </c>
      <c r="G7" s="19">
        <f>D7*0.03*100</f>
        <v/>
      </c>
      <c r="H7" s="19">
        <f>E7*0.03*100</f>
        <v/>
      </c>
      <c r="I7" s="19">
        <f>F7*0.03*100</f>
        <v/>
      </c>
    </row>
    <row r="8">
      <c r="A8" s="6" t="inlineStr">
        <is>
          <t>Tap Water Sydney</t>
        </is>
      </c>
      <c r="B8" s="6" t="n">
        <v>2</v>
      </c>
      <c r="C8" s="7" t="n">
        <v>1660</v>
      </c>
      <c r="D8" s="7">
        <f>C8*0.03</f>
        <v/>
      </c>
      <c r="E8" s="7">
        <f>C8*0.08</f>
        <v/>
      </c>
      <c r="F8" s="7">
        <f>C8*0.15</f>
        <v/>
      </c>
      <c r="G8" s="18">
        <f>D8*0.03*100</f>
        <v/>
      </c>
      <c r="H8" s="18">
        <f>E8*0.03*100</f>
        <v/>
      </c>
      <c r="I8" s="18">
        <f>F8*0.03*100</f>
        <v/>
      </c>
    </row>
    <row r="9">
      <c r="A9" s="4" t="inlineStr">
        <is>
          <t>Tap Water Melbourne</t>
        </is>
      </c>
      <c r="B9" s="4" t="n">
        <v>2</v>
      </c>
      <c r="C9" s="5" t="n">
        <v>1740</v>
      </c>
      <c r="D9" s="5">
        <f>C9*0.03</f>
        <v/>
      </c>
      <c r="E9" s="5">
        <f>C9*0.08</f>
        <v/>
      </c>
      <c r="F9" s="5">
        <f>C9*0.15</f>
        <v/>
      </c>
      <c r="G9" s="19">
        <f>D9*0.03*100</f>
        <v/>
      </c>
      <c r="H9" s="19">
        <f>E9*0.03*100</f>
        <v/>
      </c>
      <c r="I9" s="19">
        <f>F9*0.03*100</f>
        <v/>
      </c>
    </row>
    <row r="10">
      <c r="A10" s="6" t="inlineStr">
        <is>
          <t>Tap Water Brisbane</t>
        </is>
      </c>
      <c r="B10" s="6" t="n">
        <v>2</v>
      </c>
      <c r="C10" s="7" t="n">
        <v>890</v>
      </c>
      <c r="D10" s="7">
        <f>C10*0.03</f>
        <v/>
      </c>
      <c r="E10" s="7">
        <f>C10*0.08</f>
        <v/>
      </c>
      <c r="F10" s="7">
        <f>C10*0.15</f>
        <v/>
      </c>
      <c r="G10" s="18">
        <f>D10*0.03*100</f>
        <v/>
      </c>
      <c r="H10" s="18">
        <f>E10*0.03*100</f>
        <v/>
      </c>
      <c r="I10" s="18">
        <f>F10*0.03*100</f>
        <v/>
      </c>
    </row>
    <row r="11">
      <c r="A11" s="4" t="inlineStr">
        <is>
          <t>Tap Water Perth</t>
        </is>
      </c>
      <c r="B11" s="4" t="n">
        <v>2</v>
      </c>
      <c r="C11" s="5" t="n">
        <v>720</v>
      </c>
      <c r="D11" s="5">
        <f>C11*0.03</f>
        <v/>
      </c>
      <c r="E11" s="5">
        <f>C11*0.08</f>
        <v/>
      </c>
      <c r="F11" s="5">
        <f>C11*0.15</f>
        <v/>
      </c>
      <c r="G11" s="19">
        <f>D11*0.03*100</f>
        <v/>
      </c>
      <c r="H11" s="19">
        <f>E11*0.03*100</f>
        <v/>
      </c>
      <c r="I11" s="19">
        <f>F11*0.03*100</f>
        <v/>
      </c>
    </row>
    <row r="12">
      <c r="A12" s="6" t="inlineStr">
        <is>
          <t>Can You Drink Tap Water in Australia</t>
        </is>
      </c>
      <c r="B12" s="6" t="n">
        <v>2</v>
      </c>
      <c r="C12" s="7" t="n">
        <v>880</v>
      </c>
      <c r="D12" s="7">
        <f>C12*0.03</f>
        <v/>
      </c>
      <c r="E12" s="7">
        <f>C12*0.08</f>
        <v/>
      </c>
      <c r="F12" s="7">
        <f>C12*0.15</f>
        <v/>
      </c>
      <c r="G12" s="18">
        <f>D12*0.03*100</f>
        <v/>
      </c>
      <c r="H12" s="18">
        <f>E12*0.03*100</f>
        <v/>
      </c>
      <c r="I12" s="18">
        <f>F12*0.03*100</f>
        <v/>
      </c>
    </row>
    <row r="13">
      <c r="A13" s="4" t="inlineStr">
        <is>
          <t>Tap Water Canberra</t>
        </is>
      </c>
      <c r="B13" s="4" t="n">
        <v>2</v>
      </c>
      <c r="C13" s="5" t="n">
        <v>110</v>
      </c>
      <c r="D13" s="5">
        <f>C13*0.03</f>
        <v/>
      </c>
      <c r="E13" s="5">
        <f>C13*0.08</f>
        <v/>
      </c>
      <c r="F13" s="5">
        <f>C13*0.15</f>
        <v/>
      </c>
      <c r="G13" s="19">
        <f>D13*0.03*100</f>
        <v/>
      </c>
      <c r="H13" s="19">
        <f>E13*0.03*100</f>
        <v/>
      </c>
      <c r="I13" s="19">
        <f>F13*0.03*100</f>
        <v/>
      </c>
    </row>
    <row r="14">
      <c r="A14" s="6" t="inlineStr">
        <is>
          <t>PFAS Water Australia</t>
        </is>
      </c>
      <c r="B14" s="6" t="n">
        <v>2</v>
      </c>
      <c r="C14" s="7" t="n">
        <v>1640</v>
      </c>
      <c r="D14" s="7">
        <f>C14*0.03</f>
        <v/>
      </c>
      <c r="E14" s="7">
        <f>C14*0.08</f>
        <v/>
      </c>
      <c r="F14" s="7">
        <f>C14*0.15</f>
        <v/>
      </c>
      <c r="G14" s="18">
        <f>D14*0.03*100</f>
        <v/>
      </c>
      <c r="H14" s="18">
        <f>E14*0.03*100</f>
        <v/>
      </c>
      <c r="I14" s="18">
        <f>F14*0.03*100</f>
        <v/>
      </c>
    </row>
    <row r="15">
      <c r="A15" s="4" t="inlineStr">
        <is>
          <t>Fluoride in Water Australia</t>
        </is>
      </c>
      <c r="B15" s="4" t="n">
        <v>2</v>
      </c>
      <c r="C15" s="5" t="n">
        <v>4560</v>
      </c>
      <c r="D15" s="5">
        <f>C15*0.03</f>
        <v/>
      </c>
      <c r="E15" s="5">
        <f>C15*0.08</f>
        <v/>
      </c>
      <c r="F15" s="5">
        <f>C15*0.15</f>
        <v/>
      </c>
      <c r="G15" s="19">
        <f>D15*0.03*100</f>
        <v/>
      </c>
      <c r="H15" s="19">
        <f>E15*0.03*100</f>
        <v/>
      </c>
      <c r="I15" s="19">
        <f>F15*0.03*100</f>
        <v/>
      </c>
    </row>
    <row r="16">
      <c r="A16" s="6" t="inlineStr">
        <is>
          <t>Microplastics Water Filter</t>
        </is>
      </c>
      <c r="B16" s="6" t="n">
        <v>2</v>
      </c>
      <c r="C16" s="7" t="n">
        <v>730</v>
      </c>
      <c r="D16" s="7">
        <f>C16*0.03</f>
        <v/>
      </c>
      <c r="E16" s="7">
        <f>C16*0.08</f>
        <v/>
      </c>
      <c r="F16" s="7">
        <f>C16*0.15</f>
        <v/>
      </c>
      <c r="G16" s="18">
        <f>D16*0.03*100</f>
        <v/>
      </c>
      <c r="H16" s="18">
        <f>E16*0.03*100</f>
        <v/>
      </c>
      <c r="I16" s="18">
        <f>F16*0.03*100</f>
        <v/>
      </c>
    </row>
    <row r="17">
      <c r="A17" s="4" t="inlineStr">
        <is>
          <t>Hard Water Australia</t>
        </is>
      </c>
      <c r="B17" s="4" t="n">
        <v>2</v>
      </c>
      <c r="C17" s="5" t="n">
        <v>8414</v>
      </c>
      <c r="D17" s="5">
        <f>C17*0.03</f>
        <v/>
      </c>
      <c r="E17" s="5">
        <f>C17*0.08</f>
        <v/>
      </c>
      <c r="F17" s="5">
        <f>C17*0.15</f>
        <v/>
      </c>
      <c r="G17" s="19">
        <f>D17*0.03*100</f>
        <v/>
      </c>
      <c r="H17" s="19">
        <f>E17*0.03*100</f>
        <v/>
      </c>
      <c r="I17" s="19">
        <f>F17*0.03*100</f>
        <v/>
      </c>
    </row>
    <row r="18">
      <c r="A18" s="6" t="inlineStr">
        <is>
          <t>Chlorine in Tap Water</t>
        </is>
      </c>
      <c r="B18" s="6" t="n">
        <v>2</v>
      </c>
      <c r="C18" s="7" t="n">
        <v>620</v>
      </c>
      <c r="D18" s="7">
        <f>C18*0.03</f>
        <v/>
      </c>
      <c r="E18" s="7">
        <f>C18*0.08</f>
        <v/>
      </c>
      <c r="F18" s="7">
        <f>C18*0.15</f>
        <v/>
      </c>
      <c r="G18" s="18">
        <f>D18*0.03*100</f>
        <v/>
      </c>
      <c r="H18" s="18">
        <f>E18*0.03*100</f>
        <v/>
      </c>
      <c r="I18" s="18">
        <f>F18*0.03*100</f>
        <v/>
      </c>
    </row>
    <row r="19">
      <c r="A19" s="4" t="inlineStr">
        <is>
          <t>Shower Filter Hard Water</t>
        </is>
      </c>
      <c r="B19" s="4" t="n">
        <v>3</v>
      </c>
      <c r="C19" s="5" t="n">
        <v>1040</v>
      </c>
      <c r="D19" s="5">
        <f>C19*0.03</f>
        <v/>
      </c>
      <c r="E19" s="5">
        <f>C19*0.08</f>
        <v/>
      </c>
      <c r="F19" s="5">
        <f>C19*0.15</f>
        <v/>
      </c>
      <c r="G19" s="19">
        <f>D19*0.03*100</f>
        <v/>
      </c>
      <c r="H19" s="19">
        <f>E19*0.03*100</f>
        <v/>
      </c>
      <c r="I19" s="19">
        <f>F19*0.03*100</f>
        <v/>
      </c>
    </row>
    <row r="20">
      <c r="A20" s="6" t="inlineStr">
        <is>
          <t>Shower Filter Chlorine</t>
        </is>
      </c>
      <c r="B20" s="6" t="n">
        <v>3</v>
      </c>
      <c r="C20" s="7" t="n">
        <v>920</v>
      </c>
      <c r="D20" s="7">
        <f>C20*0.03</f>
        <v/>
      </c>
      <c r="E20" s="7">
        <f>C20*0.08</f>
        <v/>
      </c>
      <c r="F20" s="7">
        <f>C20*0.15</f>
        <v/>
      </c>
      <c r="G20" s="18">
        <f>D20*0.03*100</f>
        <v/>
      </c>
      <c r="H20" s="18">
        <f>E20*0.03*100</f>
        <v/>
      </c>
      <c r="I20" s="18">
        <f>F20*0.03*100</f>
        <v/>
      </c>
    </row>
    <row r="21">
      <c r="A21" s="4" t="inlineStr">
        <is>
          <t>Shower Filter Eczema</t>
        </is>
      </c>
      <c r="B21" s="4" t="n">
        <v>3</v>
      </c>
      <c r="C21" s="5" t="n">
        <v>120</v>
      </c>
      <c r="D21" s="5">
        <f>C21*0.03</f>
        <v/>
      </c>
      <c r="E21" s="5">
        <f>C21*0.08</f>
        <v/>
      </c>
      <c r="F21" s="5">
        <f>C21*0.15</f>
        <v/>
      </c>
      <c r="G21" s="19">
        <f>D21*0.03*100</f>
        <v/>
      </c>
      <c r="H21" s="19">
        <f>E21*0.03*100</f>
        <v/>
      </c>
      <c r="I21" s="19">
        <f>F21*0.03*100</f>
        <v/>
      </c>
    </row>
    <row r="22">
      <c r="A22" s="6" t="inlineStr">
        <is>
          <t>Shower Filter Hair Loss</t>
        </is>
      </c>
      <c r="B22" s="6" t="n">
        <v>3</v>
      </c>
      <c r="C22" s="7" t="n">
        <v>190</v>
      </c>
      <c r="D22" s="7">
        <f>C22*0.03</f>
        <v/>
      </c>
      <c r="E22" s="7">
        <f>C22*0.08</f>
        <v/>
      </c>
      <c r="F22" s="7">
        <f>C22*0.15</f>
        <v/>
      </c>
      <c r="G22" s="18">
        <f>D22*0.03*100</f>
        <v/>
      </c>
      <c r="H22" s="18">
        <f>E22*0.03*100</f>
        <v/>
      </c>
      <c r="I22" s="18">
        <f>F22*0.03*100</f>
        <v/>
      </c>
    </row>
    <row r="23">
      <c r="A23" s="4" t="inlineStr">
        <is>
          <t>RO vs Tap Filter</t>
        </is>
      </c>
      <c r="B23" s="4" t="n">
        <v>3</v>
      </c>
      <c r="C23" s="5" t="n">
        <v>160</v>
      </c>
      <c r="D23" s="5">
        <f>C23*0.03</f>
        <v/>
      </c>
      <c r="E23" s="5">
        <f>C23*0.08</f>
        <v/>
      </c>
      <c r="F23" s="5">
        <f>C23*0.15</f>
        <v/>
      </c>
      <c r="G23" s="19">
        <f>D23*0.03*100</f>
        <v/>
      </c>
      <c r="H23" s="19">
        <f>E23*0.03*100</f>
        <v/>
      </c>
      <c r="I23" s="19">
        <f>F23*0.03*100</f>
        <v/>
      </c>
    </row>
    <row r="24">
      <c r="A24" s="6" t="inlineStr">
        <is>
          <t>Countertop vs Under-Sink RO</t>
        </is>
      </c>
      <c r="B24" s="6" t="n">
        <v>3</v>
      </c>
      <c r="C24" s="7" t="n">
        <v>470</v>
      </c>
      <c r="D24" s="7">
        <f>C24*0.03</f>
        <v/>
      </c>
      <c r="E24" s="7">
        <f>C24*0.08</f>
        <v/>
      </c>
      <c r="F24" s="7">
        <f>C24*0.15</f>
        <v/>
      </c>
      <c r="G24" s="18">
        <f>D24*0.03*100</f>
        <v/>
      </c>
      <c r="H24" s="18">
        <f>E24*0.03*100</f>
        <v/>
      </c>
      <c r="I24" s="18">
        <f>F24*0.03*100</f>
        <v/>
      </c>
    </row>
    <row r="25">
      <c r="A25" s="4" t="inlineStr">
        <is>
          <t>Water Filter for Renters</t>
        </is>
      </c>
      <c r="B25" s="4" t="n">
        <v>3</v>
      </c>
      <c r="C25" s="5" t="n">
        <v>50</v>
      </c>
      <c r="D25" s="5">
        <f>C25*0.03</f>
        <v/>
      </c>
      <c r="E25" s="5">
        <f>C25*0.08</f>
        <v/>
      </c>
      <c r="F25" s="5">
        <f>C25*0.15</f>
        <v/>
      </c>
      <c r="G25" s="19">
        <f>D25*0.03*100</f>
        <v/>
      </c>
      <c r="H25" s="19">
        <f>E25*0.03*100</f>
        <v/>
      </c>
      <c r="I25" s="19">
        <f>F25*0.03*100</f>
        <v/>
      </c>
    </row>
    <row r="26">
      <c r="A26" s="6" t="inlineStr">
        <is>
          <t>Water Filter Caravan</t>
        </is>
      </c>
      <c r="B26" s="6" t="n">
        <v>3</v>
      </c>
      <c r="C26" s="7" t="n">
        <v>3780</v>
      </c>
      <c r="D26" s="7">
        <f>C26*0.03</f>
        <v/>
      </c>
      <c r="E26" s="7">
        <f>C26*0.08</f>
        <v/>
      </c>
      <c r="F26" s="7">
        <f>C26*0.15</f>
        <v/>
      </c>
      <c r="G26" s="18">
        <f>D26*0.03*100</f>
        <v/>
      </c>
      <c r="H26" s="18">
        <f>E26*0.03*100</f>
        <v/>
      </c>
      <c r="I26" s="18">
        <f>F26*0.03*100</f>
        <v/>
      </c>
    </row>
    <row r="27">
      <c r="A27" s="4" t="inlineStr">
        <is>
          <t>Tapp vs Brita</t>
        </is>
      </c>
      <c r="B27" s="4" t="n">
        <v>3</v>
      </c>
      <c r="C27" s="5" t="n">
        <v>18220</v>
      </c>
      <c r="D27" s="5">
        <f>C27*0.03</f>
        <v/>
      </c>
      <c r="E27" s="5">
        <f>C27*0.08</f>
        <v/>
      </c>
      <c r="F27" s="5">
        <f>C27*0.15</f>
        <v/>
      </c>
      <c r="G27" s="19">
        <f>D27*0.03*100</f>
        <v/>
      </c>
      <c r="H27" s="19">
        <f>E27*0.03*100</f>
        <v/>
      </c>
      <c r="I27" s="19">
        <f>F27*0.03*100</f>
        <v/>
      </c>
    </row>
    <row r="28">
      <c r="A28" s="6" t="inlineStr">
        <is>
          <t>Water Filter Bunnings</t>
        </is>
      </c>
      <c r="B28" s="6" t="n">
        <v>3</v>
      </c>
      <c r="C28" s="7" t="n">
        <v>12690</v>
      </c>
      <c r="D28" s="7">
        <f>C28*0.03</f>
        <v/>
      </c>
      <c r="E28" s="7">
        <f>C28*0.08</f>
        <v/>
      </c>
      <c r="F28" s="7">
        <f>C28*0.15</f>
        <v/>
      </c>
      <c r="G28" s="18">
        <f>D28*0.03*100</f>
        <v/>
      </c>
      <c r="H28" s="18">
        <f>E28*0.03*100</f>
        <v/>
      </c>
      <c r="I28" s="18">
        <f>F28*0.03*100</f>
        <v/>
      </c>
    </row>
    <row r="29">
      <c r="A29" s="4" t="inlineStr">
        <is>
          <t>Bottled Water vs Tap</t>
        </is>
      </c>
      <c r="B29" s="4" t="n">
        <v>3</v>
      </c>
      <c r="C29" s="5" t="n">
        <v>530</v>
      </c>
      <c r="D29" s="5">
        <f>C29*0.03</f>
        <v/>
      </c>
      <c r="E29" s="5">
        <f>C29*0.08</f>
        <v/>
      </c>
      <c r="F29" s="5">
        <f>C29*0.15</f>
        <v/>
      </c>
      <c r="G29" s="19">
        <f>D29*0.03*100</f>
        <v/>
      </c>
      <c r="H29" s="19">
        <f>E29*0.03*100</f>
        <v/>
      </c>
      <c r="I29" s="19">
        <f>F29*0.03*100</f>
        <v/>
      </c>
    </row>
    <row r="30">
      <c r="A30" s="6" t="inlineStr">
        <is>
          <t>Water Filter Office</t>
        </is>
      </c>
      <c r="B30" s="6" t="n">
        <v>3</v>
      </c>
      <c r="C30" s="7" t="n">
        <v>210</v>
      </c>
      <c r="D30" s="7">
        <f>C30*0.03</f>
        <v/>
      </c>
      <c r="E30" s="7">
        <f>C30*0.08</f>
        <v/>
      </c>
      <c r="F30" s="7">
        <f>C30*0.15</f>
        <v/>
      </c>
      <c r="G30" s="18">
        <f>D30*0.03*100</f>
        <v/>
      </c>
      <c r="H30" s="18">
        <f>E30*0.03*100</f>
        <v/>
      </c>
      <c r="I30" s="18">
        <f>F30*0.03*100</f>
        <v/>
      </c>
    </row>
    <row r="31">
      <c r="A31" s="4" t="inlineStr">
        <is>
          <t>Lead in Water Australia</t>
        </is>
      </c>
      <c r="B31" s="4" t="n">
        <v>3</v>
      </c>
      <c r="C31" s="5" t="n">
        <v>160</v>
      </c>
      <c r="D31" s="5">
        <f>C31*0.03</f>
        <v/>
      </c>
      <c r="E31" s="5">
        <f>C31*0.08</f>
        <v/>
      </c>
      <c r="F31" s="5">
        <f>C31*0.15</f>
        <v/>
      </c>
      <c r="G31" s="19">
        <f>D31*0.03*100</f>
        <v/>
      </c>
      <c r="H31" s="19">
        <f>E31*0.03*100</f>
        <v/>
      </c>
      <c r="I31" s="19">
        <f>F31*0.03*100</f>
        <v/>
      </c>
    </row>
    <row r="32">
      <c r="A32" s="6" t="inlineStr">
        <is>
          <t>Vitamin C Shower Filter</t>
        </is>
      </c>
      <c r="B32" s="6" t="n">
        <v>3</v>
      </c>
      <c r="C32" s="7" t="n">
        <v>210</v>
      </c>
      <c r="D32" s="7">
        <f>C32*0.03</f>
        <v/>
      </c>
      <c r="E32" s="7">
        <f>C32*0.08</f>
        <v/>
      </c>
      <c r="F32" s="7">
        <f>C32*0.15</f>
        <v/>
      </c>
      <c r="G32" s="18">
        <f>D32*0.03*100</f>
        <v/>
      </c>
      <c r="H32" s="18">
        <f>E32*0.03*100</f>
        <v/>
      </c>
      <c r="I32" s="18">
        <f>F32*0.03*100</f>
        <v/>
      </c>
    </row>
    <row r="33">
      <c r="A33" s="20" t="inlineStr">
        <is>
          <t>PHASE 1 TOTAL</t>
        </is>
      </c>
      <c r="B33" s="21" t="n"/>
      <c r="C33" s="22">
        <f>SUMPRODUCT((B2:B32=1)*C2:C32)</f>
        <v/>
      </c>
      <c r="D33" s="22">
        <f>SUMPRODUCT((B2:B32=1)*D2:D32)</f>
        <v/>
      </c>
      <c r="E33" s="22">
        <f>SUMPRODUCT((B2:B32=1)*E2:E32)</f>
        <v/>
      </c>
      <c r="F33" s="22">
        <f>SUMPRODUCT((B2:B32=1)*F2:F32)</f>
        <v/>
      </c>
      <c r="G33" s="23">
        <f>SUMPRODUCT((B2:B32=1)*G2:G32)</f>
        <v/>
      </c>
      <c r="H33" s="23">
        <f>SUMPRODUCT((B2:B32=1)*H2:H32)</f>
        <v/>
      </c>
      <c r="I33" s="23">
        <f>SUMPRODUCT((B2:B32=1)*I2:I32)</f>
        <v/>
      </c>
    </row>
    <row r="34">
      <c r="A34" s="20" t="inlineStr">
        <is>
          <t>PHASE 2 TOTAL</t>
        </is>
      </c>
      <c r="B34" s="21" t="n"/>
      <c r="C34" s="22">
        <f>SUMPRODUCT((B2:B32=2)*C2:C32)</f>
        <v/>
      </c>
      <c r="D34" s="22">
        <f>SUMPRODUCT((B2:B32=2)*D2:D32)</f>
        <v/>
      </c>
      <c r="E34" s="22">
        <f>SUMPRODUCT((B2:B32=2)*E2:E32)</f>
        <v/>
      </c>
      <c r="F34" s="22">
        <f>SUMPRODUCT((B2:B32=2)*F2:F32)</f>
        <v/>
      </c>
      <c r="G34" s="23">
        <f>SUMPRODUCT((B2:B32=2)*G2:G32)</f>
        <v/>
      </c>
      <c r="H34" s="23">
        <f>SUMPRODUCT((B2:B32=2)*H2:H32)</f>
        <v/>
      </c>
      <c r="I34" s="23">
        <f>SUMPRODUCT((B2:B32=2)*I2:I32)</f>
        <v/>
      </c>
    </row>
    <row r="35">
      <c r="A35" s="20" t="inlineStr">
        <is>
          <t>PHASE 3 TOTAL</t>
        </is>
      </c>
      <c r="B35" s="21" t="n"/>
      <c r="C35" s="22">
        <f>SUMPRODUCT((B2:B32=3)*C2:C32)</f>
        <v/>
      </c>
      <c r="D35" s="22">
        <f>SUMPRODUCT((B2:B32=3)*D2:D32)</f>
        <v/>
      </c>
      <c r="E35" s="22">
        <f>SUMPRODUCT((B2:B32=3)*E2:E32)</f>
        <v/>
      </c>
      <c r="F35" s="22">
        <f>SUMPRODUCT((B2:B32=3)*F2:F32)</f>
        <v/>
      </c>
      <c r="G35" s="23">
        <f>SUMPRODUCT((B2:B32=3)*G2:G32)</f>
        <v/>
      </c>
      <c r="H35" s="23">
        <f>SUMPRODUCT((B2:B32=3)*H2:H32)</f>
        <v/>
      </c>
      <c r="I35" s="23">
        <f>SUMPRODUCT((B2:B32=3)*I2:I32)</f>
        <v/>
      </c>
    </row>
    <row r="36">
      <c r="A36" s="21" t="n"/>
      <c r="B36" s="21" t="n"/>
      <c r="C36" s="24" t="n"/>
      <c r="D36" s="24" t="n"/>
      <c r="E36" s="24" t="n"/>
      <c r="F36" s="24" t="n"/>
      <c r="G36" s="25" t="n"/>
      <c r="H36" s="25" t="n"/>
      <c r="I36" s="25" t="n"/>
    </row>
    <row r="37">
      <c r="A37" s="26" t="inlineStr">
        <is>
          <t>GRAND TOTAL</t>
        </is>
      </c>
      <c r="B37" s="27" t="n"/>
      <c r="C37" s="28">
        <f>SUM(C33:C35)</f>
        <v/>
      </c>
      <c r="D37" s="28">
        <f>SUM(D33:D35)</f>
        <v/>
      </c>
      <c r="E37" s="28">
        <f>SUM(E33:E35)</f>
        <v/>
      </c>
      <c r="F37" s="28">
        <f>SUM(F33:F35)</f>
        <v/>
      </c>
      <c r="G37" s="29">
        <f>SUM(G33:G35)</f>
        <v/>
      </c>
      <c r="H37" s="29">
        <f>SUM(H33:H35)</f>
        <v/>
      </c>
      <c r="I37" s="29">
        <f>SUM(I33:I35)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2026-03-23T06:55:04Z</dcterms:created>
  <dcterms:modified xsi:type="dcterms:W3CDTF">2026-03-23T06:55:04Z</dcterms:modified>
</cp:coreProperties>
</file>